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465" windowHeight="5280"/>
  </bookViews>
  <sheets>
    <sheet name="报关草单" sheetId="1" r:id="rId1"/>
    <sheet name="合同" sheetId="2" r:id="rId2"/>
    <sheet name="发票" sheetId="3" r:id="rId3"/>
    <sheet name="装箱单" sheetId="4" r:id="rId4"/>
    <sheet name="报关草单合并" sheetId="5" r:id="rId5"/>
  </sheets>
  <externalReferences>
    <externalReference r:id="rId7"/>
  </externalReferences>
  <definedNames>
    <definedName name="_xlnm._FilterDatabase" localSheetId="0" hidden="1">报关草单!$A$12:$AA$84</definedName>
    <definedName name="_xlnm.Print_Area" localSheetId="1">合同!$A$1:$AB$48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<sst xmlns="http://schemas.openxmlformats.org/spreadsheetml/2006/main" count="1131" uniqueCount="222">
  <si>
    <t>中华人民共和国海关出口货物报关单</t>
  </si>
  <si>
    <t>预录入编号：</t>
  </si>
  <si>
    <t>申报口岸:</t>
  </si>
  <si>
    <t>海关编号:</t>
  </si>
  <si>
    <t>境内发货人</t>
  </si>
  <si>
    <t>深圳市亿莱沃实业有限公司</t>
  </si>
  <si>
    <t>出境关别</t>
  </si>
  <si>
    <t>出口日期</t>
  </si>
  <si>
    <t>申报日期</t>
  </si>
  <si>
    <t>备案号</t>
  </si>
  <si>
    <t>境外收货人
AEO：</t>
  </si>
  <si>
    <t>HK Kuntaikang Industrial Co., Limited</t>
  </si>
  <si>
    <t>运输方式</t>
  </si>
  <si>
    <t>路运</t>
  </si>
  <si>
    <t>运输工具名称及航次号</t>
  </si>
  <si>
    <t>提运单号</t>
  </si>
  <si>
    <t>生产销售单位</t>
  </si>
  <si>
    <t>监管方式</t>
  </si>
  <si>
    <t>一般贸易</t>
  </si>
  <si>
    <t>征免性质</t>
  </si>
  <si>
    <t>一般征税</t>
  </si>
  <si>
    <t>许可证号</t>
  </si>
  <si>
    <t>合同协议号</t>
  </si>
  <si>
    <t>YLW-20260709001</t>
  </si>
  <si>
    <t>贸易国(地区)</t>
  </si>
  <si>
    <t>香港</t>
  </si>
  <si>
    <t>运抵国(地区)</t>
  </si>
  <si>
    <t>德国</t>
  </si>
  <si>
    <t>指运港</t>
  </si>
  <si>
    <t>离境口岸</t>
  </si>
  <si>
    <t>包装种类</t>
  </si>
  <si>
    <t>纸箱</t>
  </si>
  <si>
    <t>件数</t>
  </si>
  <si>
    <t>15件</t>
  </si>
  <si>
    <t>毛重</t>
  </si>
  <si>
    <t>267千克</t>
  </si>
  <si>
    <t>净重</t>
  </si>
  <si>
    <t>224.82千克</t>
  </si>
  <si>
    <t>成交方式</t>
  </si>
  <si>
    <t>FOB</t>
  </si>
  <si>
    <t>运费</t>
  </si>
  <si>
    <t>保费</t>
  </si>
  <si>
    <t>杂费</t>
  </si>
  <si>
    <t>随附单证及编号</t>
  </si>
  <si>
    <t>境外收货人完整显示：</t>
  </si>
  <si>
    <t>标记唛码及备注：</t>
  </si>
  <si>
    <t>特殊关系确认:</t>
  </si>
  <si>
    <t>否</t>
  </si>
  <si>
    <t>价格影响确认：</t>
  </si>
  <si>
    <t>支付特许权使用费:</t>
  </si>
  <si>
    <t>自报自缴:</t>
  </si>
  <si>
    <t>出口不填</t>
  </si>
  <si>
    <t>原产国/目的国/货源地未注明的项默认与提供的项相同</t>
  </si>
  <si>
    <t>序号</t>
  </si>
  <si>
    <t>商品编码</t>
  </si>
  <si>
    <t>商检编码</t>
  </si>
  <si>
    <t>商品名称</t>
  </si>
  <si>
    <t>规格型号</t>
  </si>
  <si>
    <t>数量</t>
  </si>
  <si>
    <t>单位</t>
  </si>
  <si>
    <t>单价</t>
  </si>
  <si>
    <t>总价</t>
  </si>
  <si>
    <t>币制</t>
  </si>
  <si>
    <t>原产国</t>
  </si>
  <si>
    <t>最终目的地</t>
  </si>
  <si>
    <t>境内货源地</t>
  </si>
  <si>
    <t>照章征税</t>
  </si>
  <si>
    <t>FD-602-GY505</t>
  </si>
  <si>
    <t>隔音棉</t>
  </si>
  <si>
    <t>隔音棉
5MM 5米*40CM</t>
  </si>
  <si>
    <t>个</t>
  </si>
  <si>
    <t>USD</t>
  </si>
  <si>
    <t>中国</t>
  </si>
  <si>
    <t>广州</t>
  </si>
  <si>
    <t>FD-511-RM1M15</t>
  </si>
  <si>
    <t>橡胶垫</t>
  </si>
  <si>
    <t>黑色柳叶橡胶垫3MM厚度 1*1.5米</t>
  </si>
  <si>
    <t>沧州</t>
  </si>
  <si>
    <t>FD-509-C2KG</t>
  </si>
  <si>
    <t>硅胶干燥剂</t>
  </si>
  <si>
    <t>桶装2KG 纯黄色干燥剂</t>
  </si>
  <si>
    <t>深圳</t>
  </si>
  <si>
    <t>FD-509-C1KG</t>
  </si>
  <si>
    <t>桶装1KG 纯黄色干燥剂</t>
  </si>
  <si>
    <t>FD-506-TCM</t>
  </si>
  <si>
    <t>聚脂钎维填充物</t>
  </si>
  <si>
    <t>颗粒棉 1KG 尺寸37*25*10</t>
  </si>
  <si>
    <t>东莞</t>
  </si>
  <si>
    <t>FD-504-GZ516</t>
  </si>
  <si>
    <t>透明掺黄色（20%）干燥剂  50g 16包装</t>
  </si>
  <si>
    <t>包</t>
  </si>
  <si>
    <t>FD-601-FCDA</t>
  </si>
  <si>
    <t>推拉杆</t>
  </si>
  <si>
    <t>屋顶杆天窗开窗器管径2CM5节1.86M黑色</t>
  </si>
  <si>
    <t>惠州</t>
  </si>
  <si>
    <t>FD-504-682</t>
  </si>
  <si>
    <t>过滤棉家纺棉170g 0.68m*2m*15mm</t>
  </si>
  <si>
    <t>金额</t>
  </si>
  <si>
    <t>合    同
CONTRACT</t>
  </si>
  <si>
    <t>卖 方:</t>
  </si>
  <si>
    <t>合同号码：</t>
  </si>
  <si>
    <t>Sellers:</t>
  </si>
  <si>
    <t>Contract No：</t>
  </si>
  <si>
    <t>地址：</t>
  </si>
  <si>
    <t>深圳市龙华区龙华建辉路123号长田科技园2栋503号</t>
  </si>
  <si>
    <t>日  期：</t>
  </si>
  <si>
    <t>Address:</t>
  </si>
  <si>
    <t>Date:</t>
  </si>
  <si>
    <t xml:space="preserve">电话 </t>
  </si>
  <si>
    <t>电挂</t>
  </si>
  <si>
    <t>传真</t>
  </si>
  <si>
    <t>签约地点：</t>
  </si>
  <si>
    <t>Telephone:</t>
  </si>
  <si>
    <t>Cable:</t>
  </si>
  <si>
    <t>Fax:</t>
  </si>
  <si>
    <t>Signed at：</t>
  </si>
  <si>
    <t>买 方:</t>
  </si>
  <si>
    <t>Buyers:</t>
  </si>
  <si>
    <t>香港屯門新安街 9 號堅基工業大廈 16 樓 D 室
R2 房</t>
  </si>
  <si>
    <t>电话：</t>
  </si>
  <si>
    <t>电挂：</t>
  </si>
  <si>
    <t>传真：</t>
  </si>
  <si>
    <t>经买卖双方确认根据下列条款订立本合同：</t>
  </si>
  <si>
    <t>This contract is made out by the Sellers and Buyers as per the following terms and conditions mutuilly confirmed:</t>
  </si>
  <si>
    <t>（1）货 物 名 称 及 规 格</t>
  </si>
  <si>
    <t>（2）数 量及单位</t>
  </si>
  <si>
    <t>(3)单 价(USD)</t>
  </si>
  <si>
    <t>(4)金 额（USD)</t>
  </si>
  <si>
    <t>Name of commodity and Specification</t>
  </si>
  <si>
    <t>Quantity</t>
  </si>
  <si>
    <t>Unit Price</t>
  </si>
  <si>
    <t>Amount</t>
  </si>
  <si>
    <t>透明掺黄色（20%）干燥剂 吸水后变绿色 50g 16包装</t>
  </si>
  <si>
    <t>隔音棉 5mm厚度 0.4M*10M</t>
  </si>
  <si>
    <t>桶</t>
  </si>
  <si>
    <t>数量及总值允许有     2%的增减。</t>
  </si>
  <si>
    <t>总  值：USD</t>
  </si>
  <si>
    <t xml:space="preserve">%more or less both in amount and quantity allowed. </t>
  </si>
  <si>
    <t>Total Amount:</t>
  </si>
  <si>
    <t>(5)合同总值：   美元壹仟陆拾贰圆壹拾柒</t>
  </si>
  <si>
    <t>Total Value in Word:</t>
  </si>
  <si>
    <t>(6)包装及唛头：</t>
  </si>
  <si>
    <t>Packing and shipping Marks:</t>
  </si>
  <si>
    <t>(7)装运期：</t>
  </si>
  <si>
    <t xml:space="preserve">Time of Shipment:  </t>
  </si>
  <si>
    <t xml:space="preserve">(8)装运口岸和目的地 </t>
  </si>
  <si>
    <t>准许分批与转船。</t>
  </si>
  <si>
    <t>Loading Port &amp; Destination:From</t>
  </si>
  <si>
    <t>with transshipment and partial shipments allowed.</t>
  </si>
  <si>
    <t>(9)保险:由卖方按发票全部金额110%投保至</t>
  </si>
  <si>
    <t>为止的</t>
  </si>
  <si>
    <t>险。按中国铁路运输保险条款办理。</t>
  </si>
  <si>
    <t>Insurance:To be effectted by Seller for 110%offull invoice value covering</t>
  </si>
  <si>
    <t>up</t>
  </si>
  <si>
    <t>only,subject to C.I.C.</t>
  </si>
  <si>
    <t>(10)付款条件：</t>
  </si>
  <si>
    <t>Terms of Payment:</t>
  </si>
  <si>
    <t>(11)装运标记：</t>
  </si>
  <si>
    <t>ShiPPing Marks:</t>
  </si>
  <si>
    <t xml:space="preserve">   卖方      
THE SELLERS </t>
  </si>
  <si>
    <t>买方
THE BUYERS</t>
  </si>
  <si>
    <t>发      票
INVOICE</t>
  </si>
  <si>
    <t>合同号:</t>
  </si>
  <si>
    <t>NO:</t>
  </si>
  <si>
    <t>卖 方:
Sellers:</t>
  </si>
  <si>
    <t>日  期:</t>
  </si>
  <si>
    <t>Sold to Massers:</t>
  </si>
  <si>
    <t>DATE:</t>
  </si>
  <si>
    <t>标记号码</t>
  </si>
  <si>
    <t>货物名称</t>
  </si>
  <si>
    <t>数 量</t>
  </si>
  <si>
    <t>单价(USD)</t>
  </si>
  <si>
    <t>总金额(USD)</t>
  </si>
  <si>
    <t>Mark ＆ No</t>
  </si>
  <si>
    <t>Description</t>
  </si>
  <si>
    <t>Unit</t>
  </si>
  <si>
    <t>Unit price</t>
  </si>
  <si>
    <t>根</t>
  </si>
  <si>
    <t>唛头</t>
  </si>
  <si>
    <t>Marks</t>
  </si>
  <si>
    <t>装   箱   单
PACKING LIST</t>
  </si>
  <si>
    <t>日 期：</t>
  </si>
  <si>
    <t xml:space="preserve"> Date:</t>
  </si>
  <si>
    <t>发票编号：</t>
  </si>
  <si>
    <t>Invoice NO:</t>
  </si>
  <si>
    <t>合 同 号：</t>
  </si>
  <si>
    <r>
      <rPr>
        <sz val="12"/>
        <rFont val="Times New Roman"/>
        <charset val="0"/>
      </rPr>
      <t>Sellers</t>
    </r>
    <r>
      <rPr>
        <sz val="12"/>
        <rFont val="宋体"/>
        <charset val="0"/>
      </rPr>
      <t>：</t>
    </r>
  </si>
  <si>
    <t>Contract No:</t>
  </si>
  <si>
    <t>船名：</t>
  </si>
  <si>
    <t>付 款 条 件：</t>
  </si>
  <si>
    <r>
      <rPr>
        <sz val="12"/>
        <rFont val="Times New Roman"/>
        <charset val="0"/>
      </rPr>
      <t>Shipped by</t>
    </r>
    <r>
      <rPr>
        <sz val="12"/>
        <rFont val="宋体"/>
        <charset val="0"/>
      </rPr>
      <t>：</t>
    </r>
  </si>
  <si>
    <t>Termsof Payment:</t>
  </si>
  <si>
    <r>
      <rPr>
        <sz val="12"/>
        <rFont val="宋体"/>
        <charset val="134"/>
      </rPr>
      <t>箱</t>
    </r>
    <r>
      <rPr>
        <sz val="12"/>
        <rFont val="Times New Roman"/>
        <charset val="0"/>
      </rPr>
      <t xml:space="preserve">  </t>
    </r>
    <r>
      <rPr>
        <sz val="12"/>
        <rFont val="宋体"/>
        <charset val="134"/>
      </rPr>
      <t>号</t>
    </r>
  </si>
  <si>
    <t xml:space="preserve">    货物名称及规格</t>
  </si>
  <si>
    <t>总箱数(件)</t>
  </si>
  <si>
    <t>总数量</t>
  </si>
  <si>
    <t>总毛重(kg)</t>
  </si>
  <si>
    <t xml:space="preserve">  总净重(kg) </t>
  </si>
  <si>
    <t>Ctn.NO.</t>
  </si>
  <si>
    <t xml:space="preserve">      Description</t>
  </si>
  <si>
    <t>Ge.Crate</t>
  </si>
  <si>
    <t>Ge.Quantity</t>
  </si>
  <si>
    <t>G.W.:(kg)</t>
  </si>
  <si>
    <t xml:space="preserve"> N.W.:(kg)</t>
  </si>
  <si>
    <t>合计:</t>
  </si>
  <si>
    <t>铁路运</t>
  </si>
  <si>
    <t>材质</t>
  </si>
  <si>
    <t>用途</t>
  </si>
  <si>
    <t>外观：片 材质：橡胶 ，硫化，无品牌</t>
  </si>
  <si>
    <t>汽配</t>
  </si>
  <si>
    <t>硅胶</t>
  </si>
  <si>
    <t>除湿</t>
  </si>
  <si>
    <t>软管</t>
  </si>
  <si>
    <t>涤纶纤维</t>
  </si>
  <si>
    <t>过滤</t>
  </si>
  <si>
    <t>填充</t>
  </si>
  <si>
    <t>外观：片，材质：橡胶，无硫化</t>
  </si>
  <si>
    <t>隔音</t>
  </si>
  <si>
    <t>纺织</t>
  </si>
  <si>
    <t>不锈钢</t>
  </si>
  <si>
    <t>家具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</si>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</sst>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00_ "/>
    <numFmt numFmtId="178" formatCode="0.00_);[Red]\(0.00\)"/>
    <numFmt numFmtId="179" formatCode="0.00_ "/>
    <numFmt numFmtId="180" formatCode="0.000;[Red]0.000"/>
  </numFmts>
  <fonts count="3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6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b/>
      <sz val="10"/>
      <name val="宋体"/>
      <charset val="134"/>
    </font>
    <font>
      <sz val="11"/>
      <color indexed="21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8"/>
      <color rgb="FF333333"/>
      <name val="宋体"/>
      <charset val="134"/>
    </font>
    <font>
      <sz val="26"/>
      <name val="宋体"/>
      <charset val="134"/>
    </font>
    <font>
      <sz val="12"/>
      <name val="Times New Roman"/>
      <charset val="0"/>
    </font>
    <font>
      <u/>
      <sz val="12"/>
      <name val="宋体"/>
      <charset val="134"/>
    </font>
    <font>
      <sz val="28"/>
      <name val="宋体"/>
      <charset val="134"/>
    </font>
    <font>
      <u/>
      <sz val="8"/>
      <name val="宋体"/>
      <charset val="134"/>
    </font>
    <font>
      <sz val="12"/>
      <color indexed="8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19" applyNumberFormat="0" applyAlignment="0" applyProtection="0">
      <alignment vertical="center"/>
    </xf>
    <xf numFmtId="0" fontId="28" fillId="5" borderId="20" applyNumberFormat="0" applyAlignment="0" applyProtection="0">
      <alignment vertical="center"/>
    </xf>
    <xf numFmtId="0" fontId="29" fillId="5" borderId="19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left" vertical="center" wrapText="1" shrinkToFit="1"/>
    </xf>
    <xf numFmtId="176" fontId="1" fillId="2" borderId="1" xfId="0" applyNumberFormat="1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shrinkToFit="1"/>
    </xf>
    <xf numFmtId="177" fontId="1" fillId="2" borderId="1" xfId="0" applyNumberFormat="1" applyFont="1" applyFill="1" applyBorder="1" applyAlignment="1">
      <alignment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178" fontId="1" fillId="2" borderId="1" xfId="0" applyNumberFormat="1" applyFont="1" applyFill="1" applyBorder="1" applyAlignment="1">
      <alignment vertical="center" shrinkToFit="1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vertical="center"/>
    </xf>
    <xf numFmtId="0" fontId="3" fillId="2" borderId="1" xfId="0" applyFont="1" applyFill="1" applyBorder="1" applyAlignment="1">
      <alignment horizontal="right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right" vertical="center" shrinkToFit="1"/>
    </xf>
    <xf numFmtId="179" fontId="1" fillId="2" borderId="1" xfId="0" applyNumberFormat="1" applyFont="1" applyFill="1" applyBorder="1" applyAlignment="1">
      <alignment vertical="center" shrinkToFit="1"/>
    </xf>
    <xf numFmtId="177" fontId="1" fillId="2" borderId="1" xfId="0" applyNumberFormat="1" applyFont="1" applyFill="1" applyBorder="1" applyAlignment="1">
      <alignment horizontal="right" vertical="center" shrinkToFit="1"/>
    </xf>
    <xf numFmtId="0" fontId="11" fillId="2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12" fillId="0" borderId="0" xfId="0" applyFont="1" applyFill="1" applyBorder="1" applyAlignment="1">
      <alignment horizontal="right" vertical="center" wrapText="1" indent="3"/>
    </xf>
    <xf numFmtId="0" fontId="12" fillId="0" borderId="0" xfId="0" applyFont="1" applyFill="1" applyBorder="1" applyAlignment="1">
      <alignment horizontal="right" vertical="center" indent="3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14" fontId="1" fillId="0" borderId="0" xfId="0" applyNumberFormat="1" applyFont="1" applyFill="1" applyBorder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shrinkToFit="1"/>
    </xf>
    <xf numFmtId="0" fontId="1" fillId="0" borderId="9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179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5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11" fontId="16" fillId="0" borderId="0" xfId="0" applyNumberFormat="1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shrinkToFi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 wrapText="1"/>
    </xf>
    <xf numFmtId="0" fontId="1" fillId="0" borderId="0" xfId="0" applyFont="1" applyFill="1" applyAlignment="1" applyProtection="1">
      <alignment horizontal="left" vertical="center"/>
    </xf>
    <xf numFmtId="14" fontId="1" fillId="0" borderId="0" xfId="0" applyNumberFormat="1" applyFont="1" applyFill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left" vertical="center"/>
    </xf>
    <xf numFmtId="0" fontId="13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left" vertical="center"/>
    </xf>
    <xf numFmtId="177" fontId="1" fillId="0" borderId="1" xfId="0" applyNumberFormat="1" applyFont="1" applyFill="1" applyBorder="1" applyAlignment="1" applyProtection="1">
      <alignment horizontal="center" vertical="center"/>
    </xf>
    <xf numFmtId="178" fontId="1" fillId="0" borderId="1" xfId="0" applyNumberFormat="1" applyFont="1" applyFill="1" applyBorder="1" applyAlignment="1" applyProtection="1">
      <alignment horizontal="center" vertical="center"/>
    </xf>
    <xf numFmtId="179" fontId="1" fillId="0" borderId="1" xfId="0" applyNumberFormat="1" applyFont="1" applyFill="1" applyBorder="1" applyAlignment="1" applyProtection="1">
      <alignment horizontal="center" vertical="center"/>
    </xf>
    <xf numFmtId="180" fontId="1" fillId="0" borderId="1" xfId="0" applyNumberFormat="1" applyFont="1" applyFill="1" applyBorder="1" applyAlignment="1" applyProtection="1">
      <alignment horizontal="center" vertical="center"/>
    </xf>
    <xf numFmtId="177" fontId="1" fillId="0" borderId="1" xfId="0" applyNumberFormat="1" applyFont="1" applyFill="1" applyBorder="1" applyAlignment="1" applyProtection="1">
      <alignment horizontal="center" vertical="center" shrinkToFit="1"/>
    </xf>
    <xf numFmtId="179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 wrapText="1" indent="6"/>
    </xf>
    <xf numFmtId="0" fontId="1" fillId="0" borderId="0" xfId="0" applyFont="1" applyFill="1" applyAlignment="1">
      <alignment horizontal="left" vertical="center" wrapText="1" indent="8"/>
    </xf>
    <xf numFmtId="0" fontId="1" fillId="0" borderId="0" xfId="0" applyFont="1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7" fillId="0" borderId="6" xfId="0" applyFont="1" applyFill="1" applyBorder="1" applyAlignment="1" applyProtection="1">
      <alignment horizontal="center"/>
    </xf>
    <xf numFmtId="0" fontId="17" fillId="0" borderId="2" xfId="0" applyFont="1" applyFill="1" applyBorder="1" applyAlignment="1" applyProtection="1">
      <alignment horizontal="center"/>
    </xf>
    <xf numFmtId="0" fontId="10" fillId="0" borderId="0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17" fillId="0" borderId="8" xfId="0" applyFont="1" applyFill="1" applyBorder="1" applyAlignment="1" applyProtection="1">
      <alignment horizontal="center"/>
    </xf>
    <xf numFmtId="0" fontId="17" fillId="0" borderId="10" xfId="0" applyFont="1" applyFill="1" applyBorder="1" applyAlignment="1" applyProtection="1">
      <alignment horizontal="center"/>
    </xf>
    <xf numFmtId="0" fontId="17" fillId="0" borderId="0" xfId="0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ocuments\WPSDrive\1483371474\WPS&#20113;&#30424;\&#33258;&#22791;&#25253;&#20851;&#27169;&#2649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报关资料录入"/>
      <sheetName val="报关单"/>
      <sheetName val="合同"/>
      <sheetName val="发票"/>
      <sheetName val="装箱单"/>
      <sheetName val="存仓委托书"/>
      <sheetName val="申报要素"/>
      <sheetName val="委托书"/>
    </sheetNames>
    <sheetDataSet>
      <sheetData sheetId="0">
        <row r="50">
          <cell r="U50" t="str">
            <v>总合计: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7"/>
  <sheetViews>
    <sheetView tabSelected="1" view="pageBreakPreview" zoomScale="85" zoomScaleNormal="100" topLeftCell="A48" workbookViewId="0">
      <selection activeCell="B74" sqref="B74:C74"/>
    </sheetView>
  </sheetViews>
  <sheetFormatPr defaultColWidth="5.88333333333333" defaultRowHeight="13.5"/>
  <cols>
    <col min="1" max="1" width="5.88333333333333" style="2" customWidth="1"/>
    <col min="2" max="2" width="11.5" style="2" customWidth="1"/>
    <col min="3" max="3" width="4.85" style="2" customWidth="1"/>
    <col min="4" max="4" width="13.625" style="2" customWidth="1"/>
    <col min="5" max="6" width="5.88333333333333" style="2" customWidth="1"/>
    <col min="7" max="7" width="6.63333333333333" style="2" customWidth="1"/>
    <col min="8" max="8" width="8.25" style="2" customWidth="1"/>
    <col min="9" max="9" width="8.38333333333333" style="2" customWidth="1"/>
    <col min="10" max="10" width="28.3333333333333" style="2" customWidth="1"/>
    <col min="11" max="11" width="8.5" style="2" customWidth="1"/>
    <col min="12" max="12" width="6.66666666666667" style="2" customWidth="1"/>
    <col min="13" max="13" width="8.19166666666667" style="2" customWidth="1"/>
    <col min="14" max="14" width="8.46666666666667" style="2" customWidth="1"/>
    <col min="15" max="15" width="10.25" style="2" customWidth="1"/>
    <col min="16" max="16" width="7.25" style="2" customWidth="1"/>
    <col min="17" max="17" width="9.85833333333333" style="2" customWidth="1"/>
    <col min="18" max="18" width="7.91666666666667" style="2" customWidth="1"/>
    <col min="19" max="19" width="5" style="2" customWidth="1"/>
    <col min="20" max="20" width="7.25" style="2" customWidth="1"/>
    <col min="21" max="24" width="5.88333333333333" style="2" customWidth="1"/>
    <col min="25" max="25" width="9" style="2" customWidth="1"/>
    <col min="26" max="26" width="11.5" style="2" customWidth="1"/>
    <col min="27" max="27" width="5.69166666666667" style="2" customWidth="1"/>
    <col min="28" max="16383" width="5.88333333333333" style="2" customWidth="1"/>
    <col min="16384" max="16384" width="5.88333333333333" style="2"/>
  </cols>
  <sheetData>
    <row r="1" s="1" customFormat="1" ht="52" customHeight="1" spans="1:2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s="1" customFormat="1" ht="18" customHeight="1" spans="1:27">
      <c r="A2" s="5" t="s">
        <v>1</v>
      </c>
      <c r="B2" s="5"/>
      <c r="C2" s="5"/>
      <c r="D2" s="5"/>
      <c r="E2" s="5"/>
      <c r="F2" s="5"/>
      <c r="G2" s="5"/>
      <c r="H2" s="5"/>
      <c r="I2" s="5"/>
      <c r="J2" s="5" t="s">
        <v>2</v>
      </c>
      <c r="K2" s="5"/>
      <c r="L2" s="5"/>
      <c r="M2" s="5"/>
      <c r="N2" s="5" t="s">
        <v>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="1" customFormat="1" ht="30" customHeight="1" spans="1:27">
      <c r="A3" s="6" t="s">
        <v>4</v>
      </c>
      <c r="B3" s="6"/>
      <c r="C3" s="6" t="s">
        <v>5</v>
      </c>
      <c r="D3" s="6"/>
      <c r="E3" s="6"/>
      <c r="F3" s="6"/>
      <c r="G3" s="6"/>
      <c r="H3" s="7" t="s">
        <v>6</v>
      </c>
      <c r="I3" s="7"/>
      <c r="J3" s="7"/>
      <c r="K3" s="6" t="s">
        <v>7</v>
      </c>
      <c r="L3" s="6"/>
      <c r="M3" s="6"/>
      <c r="N3" s="8">
        <v>46212</v>
      </c>
      <c r="O3" s="8"/>
      <c r="P3" s="8"/>
      <c r="Q3" s="6" t="s">
        <v>8</v>
      </c>
      <c r="R3" s="6"/>
      <c r="S3" s="6"/>
      <c r="T3" s="6"/>
      <c r="U3" s="6" t="s">
        <v>9</v>
      </c>
      <c r="V3" s="6"/>
      <c r="W3" s="6"/>
      <c r="X3" s="6"/>
      <c r="Y3" s="6"/>
    </row>
    <row r="4" s="1" customFormat="1" ht="36" customHeight="1" spans="1:27">
      <c r="A4" s="7" t="s">
        <v>10</v>
      </c>
      <c r="B4" s="7"/>
      <c r="C4" s="7" t="s">
        <v>11</v>
      </c>
      <c r="D4" s="7"/>
      <c r="E4" s="7"/>
      <c r="F4" s="7"/>
      <c r="G4" s="7"/>
      <c r="H4" s="7" t="s">
        <v>12</v>
      </c>
      <c r="I4" s="7"/>
      <c r="J4" s="7" t="s">
        <v>13</v>
      </c>
      <c r="K4" s="6" t="s">
        <v>14</v>
      </c>
      <c r="L4" s="6"/>
      <c r="M4" s="6"/>
      <c r="N4" s="6"/>
      <c r="O4" s="6"/>
      <c r="P4" s="6"/>
      <c r="Q4" s="6" t="s">
        <v>15</v>
      </c>
      <c r="R4" s="6"/>
      <c r="S4" s="6"/>
      <c r="T4" s="6"/>
      <c r="U4" s="6"/>
      <c r="V4" s="6"/>
      <c r="W4" s="6"/>
      <c r="X4" s="6"/>
      <c r="Y4" s="6"/>
    </row>
    <row r="5" s="1" customFormat="1" ht="30" customHeight="1" spans="1:27">
      <c r="A5" s="6" t="s">
        <v>16</v>
      </c>
      <c r="B5" s="6"/>
      <c r="C5" s="6" t="str">
        <f>C3</f>
        <v>深圳市亿莱沃实业有限公司</v>
      </c>
      <c r="D5" s="6"/>
      <c r="E5" s="6"/>
      <c r="F5" s="6"/>
      <c r="G5" s="6"/>
      <c r="H5" s="7" t="s">
        <v>17</v>
      </c>
      <c r="I5" s="7"/>
      <c r="J5" s="7" t="s">
        <v>18</v>
      </c>
      <c r="K5" s="6" t="s">
        <v>19</v>
      </c>
      <c r="L5" s="6"/>
      <c r="M5" s="6"/>
      <c r="N5" s="6" t="s">
        <v>20</v>
      </c>
      <c r="O5" s="6"/>
      <c r="P5" s="6"/>
      <c r="Q5" s="6" t="s">
        <v>21</v>
      </c>
      <c r="R5" s="6"/>
      <c r="S5" s="6"/>
      <c r="T5" s="6"/>
      <c r="U5" s="6"/>
      <c r="V5" s="6"/>
      <c r="W5" s="6"/>
      <c r="X5" s="6"/>
      <c r="Y5" s="6"/>
    </row>
    <row r="6" s="1" customFormat="1" ht="30" customHeight="1" spans="1:27">
      <c r="A6" s="6" t="s">
        <v>22</v>
      </c>
      <c r="B6" s="6"/>
      <c r="C6" s="6" t="s">
        <v>23</v>
      </c>
      <c r="D6" s="6"/>
      <c r="E6" s="6"/>
      <c r="F6" s="6"/>
      <c r="G6" s="6"/>
      <c r="H6" s="7" t="s">
        <v>24</v>
      </c>
      <c r="I6" s="7"/>
      <c r="J6" s="7" t="s">
        <v>25</v>
      </c>
      <c r="K6" s="6" t="s">
        <v>26</v>
      </c>
      <c r="L6" s="6"/>
      <c r="M6" s="6"/>
      <c r="N6" s="6" t="s">
        <v>27</v>
      </c>
      <c r="O6" s="6"/>
      <c r="P6" s="6"/>
      <c r="Q6" s="6" t="s">
        <v>28</v>
      </c>
      <c r="R6" s="6"/>
      <c r="S6" s="6"/>
      <c r="T6" s="6"/>
      <c r="U6" s="7" t="s">
        <v>29</v>
      </c>
      <c r="V6" s="7"/>
      <c r="W6" s="7"/>
      <c r="X6" s="7"/>
      <c r="Y6" s="7"/>
    </row>
    <row r="7" s="1" customFormat="1" ht="31" customHeight="1" spans="1:27">
      <c r="A7" s="7" t="s">
        <v>30</v>
      </c>
      <c r="B7" s="7"/>
      <c r="C7" s="7" t="s">
        <v>31</v>
      </c>
      <c r="D7" s="7"/>
      <c r="E7" s="7"/>
      <c r="F7" s="6" t="s">
        <v>32</v>
      </c>
      <c r="G7" s="6" t="s">
        <v>33</v>
      </c>
      <c r="H7" s="6"/>
      <c r="I7" s="6" t="s">
        <v>34</v>
      </c>
      <c r="J7" s="6" t="s">
        <v>35</v>
      </c>
      <c r="K7" s="6" t="s">
        <v>36</v>
      </c>
      <c r="L7" s="9" t="s">
        <v>37</v>
      </c>
      <c r="M7" s="9"/>
      <c r="N7" s="6" t="s">
        <v>38</v>
      </c>
      <c r="O7" s="6" t="s">
        <v>39</v>
      </c>
      <c r="P7" s="6"/>
      <c r="Q7" s="6" t="s">
        <v>40</v>
      </c>
      <c r="R7" s="6"/>
      <c r="S7" s="6" t="s">
        <v>41</v>
      </c>
      <c r="T7" s="6"/>
      <c r="U7" s="6"/>
      <c r="V7" s="6"/>
      <c r="W7" s="6" t="s">
        <v>42</v>
      </c>
      <c r="X7" s="6"/>
      <c r="Y7" s="6"/>
    </row>
    <row r="8" s="1" customFormat="1" ht="20" customHeight="1" spans="1:27">
      <c r="A8" s="10" t="s">
        <v>43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="1" customFormat="1" ht="21" customHeight="1" spans="1:27">
      <c r="A9" s="10" t="s">
        <v>44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="1" customFormat="1" ht="14.25" spans="1:27">
      <c r="A10" s="10" t="s">
        <v>45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="1" customFormat="1" ht="21" customHeight="1" spans="1:27">
      <c r="A11" s="11" t="s">
        <v>46</v>
      </c>
      <c r="B11" s="11"/>
      <c r="C11" s="11"/>
      <c r="D11" s="12" t="s">
        <v>47</v>
      </c>
      <c r="E11" s="11" t="s">
        <v>48</v>
      </c>
      <c r="F11" s="11"/>
      <c r="G11" s="11"/>
      <c r="H11" s="12" t="s">
        <v>47</v>
      </c>
      <c r="I11" s="12"/>
      <c r="J11" s="11" t="s">
        <v>49</v>
      </c>
      <c r="K11" s="11"/>
      <c r="L11" s="12" t="s">
        <v>47</v>
      </c>
      <c r="M11" s="12"/>
      <c r="N11" s="11" t="s">
        <v>50</v>
      </c>
      <c r="O11" s="12" t="s">
        <v>47</v>
      </c>
      <c r="P11" s="12"/>
      <c r="Q11" s="13" t="s">
        <v>51</v>
      </c>
      <c r="R11" s="14" t="s">
        <v>52</v>
      </c>
      <c r="S11" s="14"/>
      <c r="T11" s="14"/>
      <c r="U11" s="14"/>
      <c r="V11" s="14"/>
      <c r="W11" s="14"/>
      <c r="X11" s="14"/>
      <c r="Y11" s="14"/>
    </row>
    <row r="12" s="1" customFormat="1" ht="19" customHeight="1" spans="1:27">
      <c r="A12" s="9" t="s">
        <v>53</v>
      </c>
      <c r="B12" s="6" t="s">
        <v>54</v>
      </c>
      <c r="C12" s="6"/>
      <c r="D12" s="6" t="s">
        <v>55</v>
      </c>
      <c r="E12" s="9" t="s">
        <v>56</v>
      </c>
      <c r="F12" s="9"/>
      <c r="G12" s="9" t="s">
        <v>57</v>
      </c>
      <c r="H12" s="9"/>
      <c r="I12" s="9"/>
      <c r="J12" s="9"/>
      <c r="K12" s="15" t="s">
        <v>58</v>
      </c>
      <c r="L12" s="15" t="s">
        <v>59</v>
      </c>
      <c r="M12" s="15" t="s">
        <v>36</v>
      </c>
      <c r="N12" s="16" t="s">
        <v>60</v>
      </c>
      <c r="O12" s="15" t="s">
        <v>61</v>
      </c>
      <c r="P12" s="15" t="s">
        <v>62</v>
      </c>
      <c r="Q12" s="9" t="s">
        <v>63</v>
      </c>
      <c r="R12" s="9"/>
      <c r="S12" s="17" t="s">
        <v>64</v>
      </c>
      <c r="T12" s="17"/>
      <c r="U12" s="17"/>
      <c r="V12" s="17" t="s">
        <v>65</v>
      </c>
      <c r="W12" s="17"/>
      <c r="X12" s="17"/>
      <c r="Y12" s="15" t="s">
        <v>66</v>
      </c>
      <c r="Z12" s="18" t="s">
        <v>34</v>
      </c>
      <c r="AA12" s="19" t="s">
        <v>32</v>
      </c>
    </row>
    <row r="13" ht="27" customHeight="1" spans="1:27">
      <c r="A13" s="20">
        <v>1</v>
      </c>
      <c r="B13" s="104">
        <v>4008110000</v>
      </c>
      <c r="C13" s="105"/>
      <c r="D13" s="106" t="s">
        <v>67</v>
      </c>
      <c r="E13" s="107" t="s">
        <v>68</v>
      </c>
      <c r="F13" s="108"/>
      <c r="G13" s="109" t="s">
        <v>69</v>
      </c>
      <c r="H13" s="110"/>
      <c r="I13" s="110"/>
      <c r="J13" s="111"/>
      <c r="K13" s="22">
        <v>4</v>
      </c>
      <c r="L13" s="15" t="s">
        <v>70</v>
      </c>
      <c r="M13" s="15">
        <f>1.35*4</f>
        <v>5.4</v>
      </c>
      <c r="N13" s="24">
        <v>7.17</v>
      </c>
      <c r="O13" s="15">
        <f t="shared" ref="O13:O18" si="0">K13*N13</f>
        <v>28.68</v>
      </c>
      <c r="P13" s="15" t="s">
        <v>71</v>
      </c>
      <c r="Q13" s="9" t="s">
        <v>72</v>
      </c>
      <c r="R13" s="9"/>
      <c r="S13" s="17" t="s">
        <v>27</v>
      </c>
      <c r="T13" s="17"/>
      <c r="U13" s="17"/>
      <c r="V13" s="17" t="s">
        <v>73</v>
      </c>
      <c r="W13" s="17"/>
      <c r="X13" s="17"/>
      <c r="Y13" s="15" t="s">
        <v>66</v>
      </c>
      <c r="Z13" s="112">
        <v>17</v>
      </c>
      <c r="AA13" s="113">
        <v>1</v>
      </c>
    </row>
    <row r="14" ht="20" customHeight="1" spans="1:27">
      <c r="A14" s="20">
        <v>2</v>
      </c>
      <c r="B14" s="104">
        <v>3926909790</v>
      </c>
      <c r="C14" s="105">
        <v>3926909790</v>
      </c>
      <c r="D14" s="106" t="s">
        <v>74</v>
      </c>
      <c r="E14" s="107" t="s">
        <v>75</v>
      </c>
      <c r="F14" s="108" t="s">
        <v>75</v>
      </c>
      <c r="G14" s="109" t="s">
        <v>76</v>
      </c>
      <c r="H14" s="110"/>
      <c r="I14" s="110"/>
      <c r="J14" s="111"/>
      <c r="K14" s="22">
        <v>1</v>
      </c>
      <c r="L14" s="15" t="s">
        <v>70</v>
      </c>
      <c r="M14" s="15">
        <v>5.005</v>
      </c>
      <c r="N14" s="24">
        <v>6.58337</v>
      </c>
      <c r="O14" s="15">
        <f t="shared" si="0"/>
        <v>6.58337</v>
      </c>
      <c r="P14" s="15" t="s">
        <v>71</v>
      </c>
      <c r="Q14" s="9" t="s">
        <v>72</v>
      </c>
      <c r="R14" s="9"/>
      <c r="S14" s="17" t="s">
        <v>27</v>
      </c>
      <c r="T14" s="17"/>
      <c r="U14" s="17"/>
      <c r="V14" s="17" t="s">
        <v>77</v>
      </c>
      <c r="W14" s="17"/>
      <c r="X14" s="17"/>
      <c r="Y14" s="15" t="s">
        <v>66</v>
      </c>
      <c r="Z14" s="112"/>
      <c r="AA14" s="113"/>
    </row>
    <row r="15" ht="20" customHeight="1" spans="1:27">
      <c r="A15" s="20">
        <v>3</v>
      </c>
      <c r="B15" s="104">
        <v>3926909790</v>
      </c>
      <c r="C15" s="105">
        <v>3926909790</v>
      </c>
      <c r="D15" s="106" t="s">
        <v>78</v>
      </c>
      <c r="E15" s="107" t="s">
        <v>79</v>
      </c>
      <c r="F15" s="108" t="s">
        <v>79</v>
      </c>
      <c r="G15" s="109" t="s">
        <v>80</v>
      </c>
      <c r="H15" s="110"/>
      <c r="I15" s="110"/>
      <c r="J15" s="111"/>
      <c r="K15" s="22">
        <v>2</v>
      </c>
      <c r="L15" s="15" t="s">
        <v>70</v>
      </c>
      <c r="M15" s="15">
        <v>4</v>
      </c>
      <c r="N15" s="24">
        <v>7.04845</v>
      </c>
      <c r="O15" s="15">
        <f t="shared" si="0"/>
        <v>14.0969</v>
      </c>
      <c r="P15" s="15" t="s">
        <v>71</v>
      </c>
      <c r="Q15" s="9" t="s">
        <v>72</v>
      </c>
      <c r="R15" s="9"/>
      <c r="S15" s="17" t="s">
        <v>27</v>
      </c>
      <c r="T15" s="17"/>
      <c r="U15" s="17"/>
      <c r="V15" s="17" t="s">
        <v>81</v>
      </c>
      <c r="W15" s="17"/>
      <c r="X15" s="17"/>
      <c r="Y15" s="15" t="s">
        <v>66</v>
      </c>
      <c r="Z15" s="112"/>
      <c r="AA15" s="113"/>
    </row>
    <row r="16" ht="31" customHeight="1" spans="1:27">
      <c r="A16" s="20">
        <v>4</v>
      </c>
      <c r="B16" s="104">
        <v>4008110000</v>
      </c>
      <c r="C16" s="105">
        <v>4008110000</v>
      </c>
      <c r="D16" s="106" t="s">
        <v>67</v>
      </c>
      <c r="E16" s="107" t="s">
        <v>68</v>
      </c>
      <c r="F16" s="108" t="s">
        <v>68</v>
      </c>
      <c r="G16" s="109" t="s">
        <v>69</v>
      </c>
      <c r="H16" s="110"/>
      <c r="I16" s="110"/>
      <c r="J16" s="111"/>
      <c r="K16" s="22">
        <v>4</v>
      </c>
      <c r="L16" s="15" t="s">
        <v>70</v>
      </c>
      <c r="M16" s="15">
        <f>4*1.35</f>
        <v>5.4</v>
      </c>
      <c r="N16" s="24">
        <v>7.17</v>
      </c>
      <c r="O16" s="15">
        <f t="shared" si="0"/>
        <v>28.68</v>
      </c>
      <c r="P16" s="15" t="s">
        <v>71</v>
      </c>
      <c r="Q16" s="9" t="s">
        <v>72</v>
      </c>
      <c r="R16" s="9"/>
      <c r="S16" s="17" t="s">
        <v>27</v>
      </c>
      <c r="T16" s="17"/>
      <c r="U16" s="17"/>
      <c r="V16" s="17" t="s">
        <v>73</v>
      </c>
      <c r="W16" s="17"/>
      <c r="X16" s="17"/>
      <c r="Y16" s="15" t="s">
        <v>66</v>
      </c>
      <c r="Z16" s="112">
        <v>18.2</v>
      </c>
      <c r="AA16" s="113">
        <v>2</v>
      </c>
    </row>
    <row r="17" ht="20" customHeight="1" spans="1:27">
      <c r="A17" s="20">
        <v>5</v>
      </c>
      <c r="B17" s="104">
        <v>3926909790</v>
      </c>
      <c r="C17" s="105">
        <v>3926909790</v>
      </c>
      <c r="D17" s="106" t="s">
        <v>74</v>
      </c>
      <c r="E17" s="107" t="s">
        <v>75</v>
      </c>
      <c r="F17" s="108" t="s">
        <v>75</v>
      </c>
      <c r="G17" s="109" t="s">
        <v>76</v>
      </c>
      <c r="H17" s="110"/>
      <c r="I17" s="110"/>
      <c r="J17" s="111"/>
      <c r="K17" s="22">
        <v>1</v>
      </c>
      <c r="L17" s="15" t="s">
        <v>70</v>
      </c>
      <c r="M17" s="15">
        <v>5.005</v>
      </c>
      <c r="N17" s="24">
        <v>6.58337</v>
      </c>
      <c r="O17" s="15">
        <f t="shared" si="0"/>
        <v>6.58337</v>
      </c>
      <c r="P17" s="15" t="s">
        <v>71</v>
      </c>
      <c r="Q17" s="9" t="s">
        <v>72</v>
      </c>
      <c r="R17" s="9"/>
      <c r="S17" s="17" t="s">
        <v>27</v>
      </c>
      <c r="T17" s="17"/>
      <c r="U17" s="17"/>
      <c r="V17" s="17" t="s">
        <v>77</v>
      </c>
      <c r="W17" s="17"/>
      <c r="X17" s="17"/>
      <c r="Y17" s="15" t="s">
        <v>66</v>
      </c>
      <c r="Z17" s="112"/>
      <c r="AA17" s="113"/>
    </row>
    <row r="18" ht="20" customHeight="1" spans="1:27">
      <c r="A18" s="20">
        <v>6</v>
      </c>
      <c r="B18" s="104">
        <v>3926909790</v>
      </c>
      <c r="C18" s="105">
        <v>3926909790</v>
      </c>
      <c r="D18" s="106" t="s">
        <v>78</v>
      </c>
      <c r="E18" s="107" t="s">
        <v>79</v>
      </c>
      <c r="F18" s="108" t="s">
        <v>79</v>
      </c>
      <c r="G18" s="109" t="s">
        <v>80</v>
      </c>
      <c r="H18" s="110"/>
      <c r="I18" s="110"/>
      <c r="J18" s="111"/>
      <c r="K18" s="22">
        <v>2</v>
      </c>
      <c r="L18" s="15" t="s">
        <v>70</v>
      </c>
      <c r="M18" s="15">
        <v>4</v>
      </c>
      <c r="N18" s="24">
        <v>7.04845</v>
      </c>
      <c r="O18" s="15">
        <f t="shared" si="0"/>
        <v>14.0969</v>
      </c>
      <c r="P18" s="15" t="s">
        <v>71</v>
      </c>
      <c r="Q18" s="9" t="s">
        <v>72</v>
      </c>
      <c r="R18" s="9"/>
      <c r="S18" s="17" t="s">
        <v>27</v>
      </c>
      <c r="T18" s="17"/>
      <c r="U18" s="17"/>
      <c r="V18" s="17" t="s">
        <v>81</v>
      </c>
      <c r="W18" s="17"/>
      <c r="X18" s="17"/>
      <c r="Y18" s="15" t="s">
        <v>66</v>
      </c>
      <c r="Z18" s="112"/>
      <c r="AA18" s="114"/>
    </row>
    <row r="19" ht="20" customHeight="1" spans="1:27">
      <c r="A19" s="20">
        <v>7</v>
      </c>
      <c r="B19" s="104">
        <v>4008110000</v>
      </c>
      <c r="C19" s="105">
        <v>4008110000</v>
      </c>
      <c r="D19" s="106" t="s">
        <v>67</v>
      </c>
      <c r="E19" s="107" t="s">
        <v>68</v>
      </c>
      <c r="F19" s="108" t="s">
        <v>68</v>
      </c>
      <c r="G19" s="109" t="s">
        <v>69</v>
      </c>
      <c r="H19" s="110"/>
      <c r="I19" s="110"/>
      <c r="J19" s="111"/>
      <c r="K19" s="22">
        <v>4</v>
      </c>
      <c r="L19" s="15" t="s">
        <v>70</v>
      </c>
      <c r="M19" s="15">
        <f>4*1.35</f>
        <v>5.4</v>
      </c>
      <c r="N19" s="24">
        <v>7.17</v>
      </c>
      <c r="O19" s="15">
        <f t="shared" ref="O19:O82" si="1">K19*N19</f>
        <v>28.68</v>
      </c>
      <c r="P19" s="15" t="s">
        <v>71</v>
      </c>
      <c r="Q19" s="9" t="s">
        <v>72</v>
      </c>
      <c r="R19" s="9"/>
      <c r="S19" s="17" t="s">
        <v>27</v>
      </c>
      <c r="T19" s="17"/>
      <c r="U19" s="17"/>
      <c r="V19" s="17" t="s">
        <v>73</v>
      </c>
      <c r="W19" s="17"/>
      <c r="X19" s="17"/>
      <c r="Y19" s="15" t="s">
        <v>66</v>
      </c>
      <c r="Z19" s="112">
        <v>18</v>
      </c>
      <c r="AA19" s="113">
        <v>3</v>
      </c>
    </row>
    <row r="20" ht="20" customHeight="1" spans="1:27">
      <c r="A20" s="20">
        <v>8</v>
      </c>
      <c r="B20" s="104">
        <v>3926909790</v>
      </c>
      <c r="C20" s="105">
        <v>3926909790</v>
      </c>
      <c r="D20" s="106" t="s">
        <v>74</v>
      </c>
      <c r="E20" s="107" t="s">
        <v>75</v>
      </c>
      <c r="F20" s="108" t="s">
        <v>75</v>
      </c>
      <c r="G20" s="109" t="s">
        <v>76</v>
      </c>
      <c r="H20" s="110"/>
      <c r="I20" s="110"/>
      <c r="J20" s="111"/>
      <c r="K20" s="22">
        <v>1</v>
      </c>
      <c r="L20" s="15" t="s">
        <v>70</v>
      </c>
      <c r="M20" s="15">
        <v>5.005</v>
      </c>
      <c r="N20" s="24">
        <v>6.58337</v>
      </c>
      <c r="O20" s="15">
        <f t="shared" si="1"/>
        <v>6.58337</v>
      </c>
      <c r="P20" s="15" t="s">
        <v>71</v>
      </c>
      <c r="Q20" s="9" t="s">
        <v>72</v>
      </c>
      <c r="R20" s="9"/>
      <c r="S20" s="17" t="s">
        <v>27</v>
      </c>
      <c r="T20" s="17"/>
      <c r="U20" s="17"/>
      <c r="V20" s="17" t="s">
        <v>77</v>
      </c>
      <c r="W20" s="17"/>
      <c r="X20" s="17"/>
      <c r="Y20" s="15" t="s">
        <v>66</v>
      </c>
      <c r="Z20" s="112"/>
      <c r="AA20" s="113"/>
    </row>
    <row r="21" ht="20" customHeight="1" spans="1:27">
      <c r="A21" s="20">
        <v>9</v>
      </c>
      <c r="B21" s="104">
        <v>3926909790</v>
      </c>
      <c r="C21" s="105">
        <v>3926909790</v>
      </c>
      <c r="D21" s="106" t="s">
        <v>78</v>
      </c>
      <c r="E21" s="107" t="s">
        <v>79</v>
      </c>
      <c r="F21" s="108" t="s">
        <v>79</v>
      </c>
      <c r="G21" s="109" t="s">
        <v>80</v>
      </c>
      <c r="H21" s="110"/>
      <c r="I21" s="110"/>
      <c r="J21" s="111"/>
      <c r="K21" s="22">
        <v>2</v>
      </c>
      <c r="L21" s="15" t="s">
        <v>70</v>
      </c>
      <c r="M21" s="15">
        <v>4</v>
      </c>
      <c r="N21" s="24">
        <v>7.04845</v>
      </c>
      <c r="O21" s="15">
        <f t="shared" si="1"/>
        <v>14.0969</v>
      </c>
      <c r="P21" s="15" t="s">
        <v>71</v>
      </c>
      <c r="Q21" s="9" t="s">
        <v>72</v>
      </c>
      <c r="R21" s="9"/>
      <c r="S21" s="17" t="s">
        <v>27</v>
      </c>
      <c r="T21" s="17"/>
      <c r="U21" s="17"/>
      <c r="V21" s="17" t="s">
        <v>81</v>
      </c>
      <c r="W21" s="17"/>
      <c r="X21" s="17"/>
      <c r="Y21" s="15" t="s">
        <v>66</v>
      </c>
      <c r="Z21" s="112"/>
      <c r="AA21" s="113"/>
    </row>
    <row r="22" ht="20" customHeight="1" spans="1:27">
      <c r="A22" s="20">
        <v>10</v>
      </c>
      <c r="B22" s="104">
        <v>4008110000</v>
      </c>
      <c r="C22" s="105">
        <v>4008110000</v>
      </c>
      <c r="D22" s="106" t="s">
        <v>67</v>
      </c>
      <c r="E22" s="107" t="s">
        <v>68</v>
      </c>
      <c r="F22" s="108" t="s">
        <v>68</v>
      </c>
      <c r="G22" s="109" t="s">
        <v>69</v>
      </c>
      <c r="H22" s="110"/>
      <c r="I22" s="110"/>
      <c r="J22" s="111"/>
      <c r="K22" s="22">
        <v>3</v>
      </c>
      <c r="L22" s="15" t="s">
        <v>70</v>
      </c>
      <c r="M22" s="15">
        <f>+K22*1.35</f>
        <v>4.05</v>
      </c>
      <c r="N22" s="24">
        <v>7.17</v>
      </c>
      <c r="O22" s="15">
        <f t="shared" si="1"/>
        <v>21.51</v>
      </c>
      <c r="P22" s="15" t="s">
        <v>71</v>
      </c>
      <c r="Q22" s="9" t="s">
        <v>72</v>
      </c>
      <c r="R22" s="9"/>
      <c r="S22" s="17" t="s">
        <v>27</v>
      </c>
      <c r="T22" s="17"/>
      <c r="U22" s="17"/>
      <c r="V22" s="17" t="s">
        <v>73</v>
      </c>
      <c r="W22" s="17"/>
      <c r="X22" s="17"/>
      <c r="Y22" s="15" t="s">
        <v>66</v>
      </c>
      <c r="Z22" s="112">
        <v>15.3</v>
      </c>
      <c r="AA22" s="113">
        <v>4</v>
      </c>
    </row>
    <row r="23" ht="20" customHeight="1" spans="1:27">
      <c r="A23" s="20">
        <v>11</v>
      </c>
      <c r="B23" s="104">
        <v>3926909790</v>
      </c>
      <c r="C23" s="105">
        <v>3926909790</v>
      </c>
      <c r="D23" s="106" t="s">
        <v>78</v>
      </c>
      <c r="E23" s="107" t="s">
        <v>79</v>
      </c>
      <c r="F23" s="108" t="s">
        <v>79</v>
      </c>
      <c r="G23" s="109" t="s">
        <v>80</v>
      </c>
      <c r="H23" s="110"/>
      <c r="I23" s="110"/>
      <c r="J23" s="111"/>
      <c r="K23" s="22">
        <v>2</v>
      </c>
      <c r="L23" s="15" t="s">
        <v>70</v>
      </c>
      <c r="M23" s="15">
        <v>4</v>
      </c>
      <c r="N23" s="24">
        <v>7.04845</v>
      </c>
      <c r="O23" s="15">
        <f t="shared" si="1"/>
        <v>14.0969</v>
      </c>
      <c r="P23" s="15" t="s">
        <v>71</v>
      </c>
      <c r="Q23" s="9" t="s">
        <v>72</v>
      </c>
      <c r="R23" s="9"/>
      <c r="S23" s="17" t="s">
        <v>27</v>
      </c>
      <c r="T23" s="17"/>
      <c r="U23" s="17"/>
      <c r="V23" s="17" t="s">
        <v>81</v>
      </c>
      <c r="W23" s="17"/>
      <c r="X23" s="17"/>
      <c r="Y23" s="15" t="s">
        <v>66</v>
      </c>
      <c r="Z23" s="112"/>
      <c r="AA23" s="113"/>
    </row>
    <row r="24" ht="20" customHeight="1" spans="1:27">
      <c r="A24" s="20">
        <v>12</v>
      </c>
      <c r="B24" s="104">
        <v>3926909790</v>
      </c>
      <c r="C24" s="105">
        <v>3926909790</v>
      </c>
      <c r="D24" s="106" t="s">
        <v>82</v>
      </c>
      <c r="E24" s="107" t="s">
        <v>79</v>
      </c>
      <c r="F24" s="108" t="s">
        <v>79</v>
      </c>
      <c r="G24" s="109" t="s">
        <v>83</v>
      </c>
      <c r="H24" s="110"/>
      <c r="I24" s="110"/>
      <c r="J24" s="111"/>
      <c r="K24" s="22">
        <v>2</v>
      </c>
      <c r="L24" s="15" t="s">
        <v>70</v>
      </c>
      <c r="M24" s="15">
        <v>2</v>
      </c>
      <c r="N24" s="24">
        <v>7.04845</v>
      </c>
      <c r="O24" s="15">
        <f t="shared" si="1"/>
        <v>14.0969</v>
      </c>
      <c r="P24" s="15" t="s">
        <v>71</v>
      </c>
      <c r="Q24" s="9" t="s">
        <v>72</v>
      </c>
      <c r="R24" s="9"/>
      <c r="S24" s="17" t="s">
        <v>27</v>
      </c>
      <c r="T24" s="17"/>
      <c r="U24" s="17"/>
      <c r="V24" s="17" t="s">
        <v>81</v>
      </c>
      <c r="W24" s="17"/>
      <c r="X24" s="17"/>
      <c r="Y24" s="15" t="s">
        <v>66</v>
      </c>
      <c r="Z24" s="112"/>
      <c r="AA24" s="113"/>
    </row>
    <row r="25" ht="20" customHeight="1" spans="1:27">
      <c r="A25" s="20">
        <v>13</v>
      </c>
      <c r="B25" s="104">
        <v>5601229000</v>
      </c>
      <c r="C25" s="105">
        <v>5601229000</v>
      </c>
      <c r="D25" s="106" t="s">
        <v>84</v>
      </c>
      <c r="E25" s="107" t="s">
        <v>85</v>
      </c>
      <c r="F25" s="108" t="s">
        <v>85</v>
      </c>
      <c r="G25" s="109" t="s">
        <v>86</v>
      </c>
      <c r="H25" s="110"/>
      <c r="I25" s="110"/>
      <c r="J25" s="111"/>
      <c r="K25" s="22">
        <v>3</v>
      </c>
      <c r="L25" s="15" t="s">
        <v>70</v>
      </c>
      <c r="M25" s="15">
        <v>3</v>
      </c>
      <c r="N25" s="24">
        <v>3.83788</v>
      </c>
      <c r="O25" s="15">
        <f t="shared" si="1"/>
        <v>11.51364</v>
      </c>
      <c r="P25" s="15" t="s">
        <v>71</v>
      </c>
      <c r="Q25" s="9" t="s">
        <v>72</v>
      </c>
      <c r="R25" s="9"/>
      <c r="S25" s="17" t="s">
        <v>27</v>
      </c>
      <c r="T25" s="17"/>
      <c r="U25" s="17"/>
      <c r="V25" s="17" t="s">
        <v>87</v>
      </c>
      <c r="W25" s="17"/>
      <c r="X25" s="17"/>
      <c r="Y25" s="15" t="s">
        <v>66</v>
      </c>
      <c r="Z25" s="112"/>
      <c r="AA25" s="113"/>
    </row>
    <row r="26" ht="20" customHeight="1" spans="1:27">
      <c r="A26" s="20">
        <v>14</v>
      </c>
      <c r="B26" s="104">
        <v>4008110000</v>
      </c>
      <c r="C26" s="105">
        <v>4008110000</v>
      </c>
      <c r="D26" s="106" t="s">
        <v>67</v>
      </c>
      <c r="E26" s="107" t="s">
        <v>68</v>
      </c>
      <c r="F26" s="108" t="s">
        <v>68</v>
      </c>
      <c r="G26" s="109" t="s">
        <v>69</v>
      </c>
      <c r="H26" s="110"/>
      <c r="I26" s="110"/>
      <c r="J26" s="111"/>
      <c r="K26" s="22">
        <v>2</v>
      </c>
      <c r="L26" s="15" t="s">
        <v>70</v>
      </c>
      <c r="M26" s="15">
        <f>+K26*1.35</f>
        <v>2.7</v>
      </c>
      <c r="N26" s="24">
        <v>7.17</v>
      </c>
      <c r="O26" s="15">
        <f t="shared" si="1"/>
        <v>14.34</v>
      </c>
      <c r="P26" s="15" t="s">
        <v>71</v>
      </c>
      <c r="Q26" s="9" t="s">
        <v>72</v>
      </c>
      <c r="R26" s="9"/>
      <c r="S26" s="17" t="s">
        <v>27</v>
      </c>
      <c r="T26" s="17"/>
      <c r="U26" s="17"/>
      <c r="V26" s="17" t="s">
        <v>73</v>
      </c>
      <c r="W26" s="17"/>
      <c r="X26" s="17"/>
      <c r="Y26" s="15" t="s">
        <v>66</v>
      </c>
      <c r="Z26" s="112">
        <v>16.6</v>
      </c>
      <c r="AA26" s="113">
        <v>5</v>
      </c>
    </row>
    <row r="27" ht="20" customHeight="1" spans="1:27">
      <c r="A27" s="20">
        <v>15</v>
      </c>
      <c r="B27" s="104">
        <v>3926909790</v>
      </c>
      <c r="C27" s="105">
        <v>3926909790</v>
      </c>
      <c r="D27" s="106" t="s">
        <v>88</v>
      </c>
      <c r="E27" s="107" t="s">
        <v>79</v>
      </c>
      <c r="F27" s="108" t="s">
        <v>79</v>
      </c>
      <c r="G27" s="109" t="s">
        <v>89</v>
      </c>
      <c r="H27" s="110"/>
      <c r="I27" s="110"/>
      <c r="J27" s="111"/>
      <c r="K27" s="22">
        <v>2</v>
      </c>
      <c r="L27" s="15" t="s">
        <v>90</v>
      </c>
      <c r="M27" s="15">
        <v>1.6</v>
      </c>
      <c r="N27" s="24">
        <v>2.199</v>
      </c>
      <c r="O27" s="15">
        <f t="shared" si="1"/>
        <v>4.398</v>
      </c>
      <c r="P27" s="15" t="s">
        <v>71</v>
      </c>
      <c r="Q27" s="9" t="s">
        <v>72</v>
      </c>
      <c r="R27" s="9"/>
      <c r="S27" s="17" t="s">
        <v>27</v>
      </c>
      <c r="T27" s="17"/>
      <c r="U27" s="17"/>
      <c r="V27" s="17" t="s">
        <v>81</v>
      </c>
      <c r="W27" s="17"/>
      <c r="X27" s="17"/>
      <c r="Y27" s="15" t="s">
        <v>66</v>
      </c>
      <c r="Z27" s="112"/>
      <c r="AA27" s="113"/>
    </row>
    <row r="28" ht="20" customHeight="1" spans="1:27">
      <c r="A28" s="20">
        <v>16</v>
      </c>
      <c r="B28" s="104">
        <v>3926909790</v>
      </c>
      <c r="C28" s="105">
        <v>3926909790</v>
      </c>
      <c r="D28" s="106" t="s">
        <v>78</v>
      </c>
      <c r="E28" s="107" t="s">
        <v>79</v>
      </c>
      <c r="F28" s="108" t="s">
        <v>79</v>
      </c>
      <c r="G28" s="109" t="s">
        <v>80</v>
      </c>
      <c r="H28" s="110"/>
      <c r="I28" s="110"/>
      <c r="J28" s="111"/>
      <c r="K28" s="22">
        <v>2</v>
      </c>
      <c r="L28" s="15" t="s">
        <v>70</v>
      </c>
      <c r="M28" s="15">
        <v>4</v>
      </c>
      <c r="N28" s="24">
        <v>7.04845</v>
      </c>
      <c r="O28" s="15">
        <f t="shared" si="1"/>
        <v>14.0969</v>
      </c>
      <c r="P28" s="15" t="s">
        <v>71</v>
      </c>
      <c r="Q28" s="9" t="s">
        <v>72</v>
      </c>
      <c r="R28" s="9"/>
      <c r="S28" s="17" t="s">
        <v>27</v>
      </c>
      <c r="T28" s="17"/>
      <c r="U28" s="17"/>
      <c r="V28" s="17" t="s">
        <v>81</v>
      </c>
      <c r="W28" s="17"/>
      <c r="X28" s="17"/>
      <c r="Y28" s="15" t="s">
        <v>66</v>
      </c>
      <c r="Z28" s="112"/>
      <c r="AA28" s="113"/>
    </row>
    <row r="29" ht="20" customHeight="1" spans="1:27">
      <c r="A29" s="20">
        <v>17</v>
      </c>
      <c r="B29" s="104">
        <v>8302490000</v>
      </c>
      <c r="C29" s="105">
        <v>8302490000</v>
      </c>
      <c r="D29" s="106" t="s">
        <v>91</v>
      </c>
      <c r="E29" s="115" t="s">
        <v>92</v>
      </c>
      <c r="F29" s="108" t="s">
        <v>92</v>
      </c>
      <c r="G29" s="109" t="s">
        <v>93</v>
      </c>
      <c r="H29" s="110"/>
      <c r="I29" s="110"/>
      <c r="J29" s="111"/>
      <c r="K29" s="22">
        <v>6</v>
      </c>
      <c r="L29" s="15" t="s">
        <v>70</v>
      </c>
      <c r="M29" s="15">
        <f>+K29*0.5</f>
        <v>3</v>
      </c>
      <c r="N29" s="24">
        <v>5.14</v>
      </c>
      <c r="O29" s="15">
        <f t="shared" si="1"/>
        <v>30.84</v>
      </c>
      <c r="P29" s="15" t="s">
        <v>71</v>
      </c>
      <c r="Q29" s="9" t="s">
        <v>72</v>
      </c>
      <c r="R29" s="9"/>
      <c r="S29" s="17" t="s">
        <v>27</v>
      </c>
      <c r="T29" s="17"/>
      <c r="U29" s="17"/>
      <c r="V29" s="17" t="s">
        <v>94</v>
      </c>
      <c r="W29" s="17"/>
      <c r="X29" s="17"/>
      <c r="Y29" s="15" t="s">
        <v>66</v>
      </c>
      <c r="Z29" s="112"/>
      <c r="AA29" s="113"/>
    </row>
    <row r="30" ht="20" customHeight="1" spans="1:27">
      <c r="A30" s="20">
        <v>18</v>
      </c>
      <c r="B30" s="104">
        <v>5601229000</v>
      </c>
      <c r="C30" s="105">
        <v>5601229000</v>
      </c>
      <c r="D30" s="106" t="s">
        <v>84</v>
      </c>
      <c r="E30" s="107" t="s">
        <v>85</v>
      </c>
      <c r="F30" s="108" t="s">
        <v>85</v>
      </c>
      <c r="G30" s="109" t="s">
        <v>86</v>
      </c>
      <c r="H30" s="110"/>
      <c r="I30" s="110"/>
      <c r="J30" s="111"/>
      <c r="K30" s="22">
        <v>3</v>
      </c>
      <c r="L30" s="15" t="s">
        <v>70</v>
      </c>
      <c r="M30" s="15">
        <v>3</v>
      </c>
      <c r="N30" s="24">
        <v>3.83788</v>
      </c>
      <c r="O30" s="15">
        <f t="shared" si="1"/>
        <v>11.51364</v>
      </c>
      <c r="P30" s="15" t="s">
        <v>71</v>
      </c>
      <c r="Q30" s="9" t="s">
        <v>72</v>
      </c>
      <c r="R30" s="9"/>
      <c r="S30" s="17" t="s">
        <v>27</v>
      </c>
      <c r="T30" s="17"/>
      <c r="U30" s="17"/>
      <c r="V30" s="17" t="s">
        <v>87</v>
      </c>
      <c r="W30" s="17"/>
      <c r="X30" s="17"/>
      <c r="Y30" s="15" t="s">
        <v>66</v>
      </c>
      <c r="Z30" s="112"/>
      <c r="AA30" s="113"/>
    </row>
    <row r="31" ht="20" customHeight="1" spans="1:27">
      <c r="A31" s="20">
        <v>19</v>
      </c>
      <c r="B31" s="104">
        <v>4008110000</v>
      </c>
      <c r="C31" s="105">
        <v>4008110000</v>
      </c>
      <c r="D31" s="106" t="s">
        <v>67</v>
      </c>
      <c r="E31" s="107" t="s">
        <v>68</v>
      </c>
      <c r="F31" s="108" t="s">
        <v>68</v>
      </c>
      <c r="G31" s="109" t="s">
        <v>69</v>
      </c>
      <c r="H31" s="110"/>
      <c r="I31" s="110"/>
      <c r="J31" s="111"/>
      <c r="K31" s="22">
        <v>3</v>
      </c>
      <c r="L31" s="15" t="s">
        <v>70</v>
      </c>
      <c r="M31" s="15">
        <f>+K31*1.35</f>
        <v>4.05</v>
      </c>
      <c r="N31" s="24">
        <v>7.17</v>
      </c>
      <c r="O31" s="15">
        <f t="shared" si="1"/>
        <v>21.51</v>
      </c>
      <c r="P31" s="15" t="s">
        <v>71</v>
      </c>
      <c r="Q31" s="9" t="s">
        <v>72</v>
      </c>
      <c r="R31" s="9"/>
      <c r="S31" s="17" t="s">
        <v>27</v>
      </c>
      <c r="T31" s="17"/>
      <c r="U31" s="17"/>
      <c r="V31" s="17" t="s">
        <v>73</v>
      </c>
      <c r="W31" s="17"/>
      <c r="X31" s="17"/>
      <c r="Y31" s="15" t="s">
        <v>66</v>
      </c>
      <c r="Z31" s="112">
        <v>19</v>
      </c>
      <c r="AA31" s="113">
        <v>6</v>
      </c>
    </row>
    <row r="32" ht="20" customHeight="1" spans="1:27">
      <c r="A32" s="20">
        <v>20</v>
      </c>
      <c r="B32" s="104">
        <v>3926909790</v>
      </c>
      <c r="C32" s="105">
        <v>3926909790</v>
      </c>
      <c r="D32" s="106" t="s">
        <v>88</v>
      </c>
      <c r="E32" s="107" t="s">
        <v>79</v>
      </c>
      <c r="F32" s="108" t="s">
        <v>79</v>
      </c>
      <c r="G32" s="109" t="s">
        <v>89</v>
      </c>
      <c r="H32" s="110"/>
      <c r="I32" s="110"/>
      <c r="J32" s="111"/>
      <c r="K32" s="22">
        <v>2</v>
      </c>
      <c r="L32" s="15" t="s">
        <v>90</v>
      </c>
      <c r="M32" s="15">
        <v>1.6</v>
      </c>
      <c r="N32" s="24">
        <v>2.199</v>
      </c>
      <c r="O32" s="15">
        <f t="shared" si="1"/>
        <v>4.398</v>
      </c>
      <c r="P32" s="15" t="s">
        <v>71</v>
      </c>
      <c r="Q32" s="9" t="s">
        <v>72</v>
      </c>
      <c r="R32" s="9"/>
      <c r="S32" s="17" t="s">
        <v>27</v>
      </c>
      <c r="T32" s="17"/>
      <c r="U32" s="17"/>
      <c r="V32" s="17" t="s">
        <v>81</v>
      </c>
      <c r="W32" s="17"/>
      <c r="X32" s="17"/>
      <c r="Y32" s="15" t="s">
        <v>66</v>
      </c>
      <c r="Z32" s="112"/>
      <c r="AA32" s="113"/>
    </row>
    <row r="33" ht="20" customHeight="1" spans="1:27">
      <c r="A33" s="20">
        <v>21</v>
      </c>
      <c r="B33" s="104">
        <v>3926909790</v>
      </c>
      <c r="C33" s="105">
        <v>3926909790</v>
      </c>
      <c r="D33" s="106" t="s">
        <v>78</v>
      </c>
      <c r="E33" s="107" t="s">
        <v>79</v>
      </c>
      <c r="F33" s="108" t="s">
        <v>79</v>
      </c>
      <c r="G33" s="109" t="s">
        <v>80</v>
      </c>
      <c r="H33" s="110"/>
      <c r="I33" s="110"/>
      <c r="J33" s="111"/>
      <c r="K33" s="22">
        <v>4</v>
      </c>
      <c r="L33" s="15" t="s">
        <v>70</v>
      </c>
      <c r="M33" s="15">
        <v>8</v>
      </c>
      <c r="N33" s="24">
        <v>14.0969</v>
      </c>
      <c r="O33" s="15">
        <f t="shared" si="1"/>
        <v>56.3876</v>
      </c>
      <c r="P33" s="15" t="s">
        <v>71</v>
      </c>
      <c r="Q33" s="9" t="s">
        <v>72</v>
      </c>
      <c r="R33" s="9"/>
      <c r="S33" s="17" t="s">
        <v>27</v>
      </c>
      <c r="T33" s="17"/>
      <c r="U33" s="17"/>
      <c r="V33" s="17" t="s">
        <v>81</v>
      </c>
      <c r="W33" s="17"/>
      <c r="X33" s="17"/>
      <c r="Y33" s="15" t="s">
        <v>66</v>
      </c>
      <c r="Z33" s="112"/>
      <c r="AA33" s="113"/>
    </row>
    <row r="34" ht="20" customHeight="1" spans="1:27">
      <c r="A34" s="20">
        <v>22</v>
      </c>
      <c r="B34" s="104">
        <v>5601229000</v>
      </c>
      <c r="C34" s="105">
        <v>5601229000</v>
      </c>
      <c r="D34" s="106" t="s">
        <v>95</v>
      </c>
      <c r="E34" s="107" t="s">
        <v>85</v>
      </c>
      <c r="F34" s="108" t="s">
        <v>85</v>
      </c>
      <c r="G34" s="109" t="s">
        <v>96</v>
      </c>
      <c r="H34" s="110"/>
      <c r="I34" s="110"/>
      <c r="J34" s="111"/>
      <c r="K34" s="22">
        <v>5</v>
      </c>
      <c r="L34" s="15" t="s">
        <v>70</v>
      </c>
      <c r="M34" s="15">
        <f>5*0.27</f>
        <v>1.35</v>
      </c>
      <c r="N34" s="24">
        <v>2.06088</v>
      </c>
      <c r="O34" s="15">
        <f t="shared" si="1"/>
        <v>10.3044</v>
      </c>
      <c r="P34" s="15" t="s">
        <v>71</v>
      </c>
      <c r="Q34" s="9" t="s">
        <v>72</v>
      </c>
      <c r="R34" s="9"/>
      <c r="S34" s="17" t="s">
        <v>27</v>
      </c>
      <c r="T34" s="17"/>
      <c r="U34" s="17"/>
      <c r="V34" s="17" t="s">
        <v>87</v>
      </c>
      <c r="W34" s="17"/>
      <c r="X34" s="17"/>
      <c r="Y34" s="15" t="s">
        <v>66</v>
      </c>
      <c r="Z34" s="112"/>
      <c r="AA34" s="113"/>
    </row>
    <row r="35" ht="20" customHeight="1" spans="1:27">
      <c r="A35" s="20">
        <v>23</v>
      </c>
      <c r="B35" s="104">
        <v>5601229000</v>
      </c>
      <c r="C35" s="105">
        <v>5601229000</v>
      </c>
      <c r="D35" s="106" t="s">
        <v>84</v>
      </c>
      <c r="E35" s="107" t="s">
        <v>85</v>
      </c>
      <c r="F35" s="108" t="s">
        <v>85</v>
      </c>
      <c r="G35" s="109" t="s">
        <v>86</v>
      </c>
      <c r="H35" s="110"/>
      <c r="I35" s="110"/>
      <c r="J35" s="111"/>
      <c r="K35" s="22">
        <v>1</v>
      </c>
      <c r="L35" s="15" t="s">
        <v>70</v>
      </c>
      <c r="M35" s="15">
        <v>1</v>
      </c>
      <c r="N35" s="24">
        <v>3.83788</v>
      </c>
      <c r="O35" s="15">
        <f t="shared" si="1"/>
        <v>3.83788</v>
      </c>
      <c r="P35" s="15" t="s">
        <v>71</v>
      </c>
      <c r="Q35" s="9" t="s">
        <v>72</v>
      </c>
      <c r="R35" s="9"/>
      <c r="S35" s="17" t="s">
        <v>27</v>
      </c>
      <c r="T35" s="17"/>
      <c r="U35" s="17"/>
      <c r="V35" s="17" t="s">
        <v>87</v>
      </c>
      <c r="W35" s="17"/>
      <c r="X35" s="17"/>
      <c r="Y35" s="15" t="s">
        <v>66</v>
      </c>
      <c r="Z35" s="112"/>
      <c r="AA35" s="113"/>
    </row>
    <row r="36" ht="20" customHeight="1" spans="1:27">
      <c r="A36" s="20">
        <v>24</v>
      </c>
      <c r="B36" s="104">
        <v>3926909790</v>
      </c>
      <c r="C36" s="105">
        <v>3926909790</v>
      </c>
      <c r="D36" s="106" t="s">
        <v>88</v>
      </c>
      <c r="E36" s="107" t="s">
        <v>79</v>
      </c>
      <c r="F36" s="108" t="s">
        <v>79</v>
      </c>
      <c r="G36" s="109" t="s">
        <v>89</v>
      </c>
      <c r="H36" s="110"/>
      <c r="I36" s="110"/>
      <c r="J36" s="111"/>
      <c r="K36" s="22">
        <v>2</v>
      </c>
      <c r="L36" s="15" t="s">
        <v>90</v>
      </c>
      <c r="M36" s="15">
        <v>1.6</v>
      </c>
      <c r="N36" s="24">
        <v>2.199</v>
      </c>
      <c r="O36" s="15">
        <f t="shared" si="1"/>
        <v>4.398</v>
      </c>
      <c r="P36" s="15" t="s">
        <v>71</v>
      </c>
      <c r="Q36" s="9" t="s">
        <v>72</v>
      </c>
      <c r="R36" s="9"/>
      <c r="S36" s="17" t="s">
        <v>27</v>
      </c>
      <c r="T36" s="17"/>
      <c r="U36" s="17"/>
      <c r="V36" s="17" t="s">
        <v>81</v>
      </c>
      <c r="W36" s="17"/>
      <c r="X36" s="17"/>
      <c r="Y36" s="15" t="s">
        <v>66</v>
      </c>
      <c r="Z36" s="112">
        <v>18.6</v>
      </c>
      <c r="AA36" s="113">
        <v>7</v>
      </c>
    </row>
    <row r="37" ht="20" customHeight="1" spans="1:27">
      <c r="A37" s="20">
        <v>25</v>
      </c>
      <c r="B37" s="104">
        <v>3926909790</v>
      </c>
      <c r="C37" s="105">
        <v>3926909790</v>
      </c>
      <c r="D37" s="106" t="s">
        <v>78</v>
      </c>
      <c r="E37" s="107" t="s">
        <v>79</v>
      </c>
      <c r="F37" s="108" t="s">
        <v>79</v>
      </c>
      <c r="G37" s="109" t="s">
        <v>80</v>
      </c>
      <c r="H37" s="110"/>
      <c r="I37" s="110"/>
      <c r="J37" s="111"/>
      <c r="K37" s="22">
        <v>2</v>
      </c>
      <c r="L37" s="15" t="s">
        <v>70</v>
      </c>
      <c r="M37" s="15">
        <v>4</v>
      </c>
      <c r="N37" s="24">
        <v>7.04845</v>
      </c>
      <c r="O37" s="15">
        <f t="shared" si="1"/>
        <v>14.0969</v>
      </c>
      <c r="P37" s="15" t="s">
        <v>71</v>
      </c>
      <c r="Q37" s="9" t="s">
        <v>72</v>
      </c>
      <c r="R37" s="9"/>
      <c r="S37" s="17" t="s">
        <v>27</v>
      </c>
      <c r="T37" s="17"/>
      <c r="U37" s="17"/>
      <c r="V37" s="17" t="s">
        <v>81</v>
      </c>
      <c r="W37" s="17"/>
      <c r="X37" s="17"/>
      <c r="Y37" s="15" t="s">
        <v>66</v>
      </c>
      <c r="Z37" s="112"/>
      <c r="AA37" s="113"/>
    </row>
    <row r="38" ht="20" customHeight="1" spans="1:27">
      <c r="A38" s="20">
        <v>26</v>
      </c>
      <c r="B38" s="104">
        <v>3926909790</v>
      </c>
      <c r="C38" s="105">
        <v>3926909790</v>
      </c>
      <c r="D38" s="106" t="s">
        <v>82</v>
      </c>
      <c r="E38" s="107" t="s">
        <v>79</v>
      </c>
      <c r="F38" s="108" t="s">
        <v>79</v>
      </c>
      <c r="G38" s="109" t="s">
        <v>83</v>
      </c>
      <c r="H38" s="110"/>
      <c r="I38" s="110"/>
      <c r="J38" s="111"/>
      <c r="K38" s="22">
        <v>1</v>
      </c>
      <c r="L38" s="15" t="s">
        <v>70</v>
      </c>
      <c r="M38" s="15">
        <v>1</v>
      </c>
      <c r="N38" s="24">
        <v>3.525</v>
      </c>
      <c r="O38" s="15">
        <f t="shared" si="1"/>
        <v>3.525</v>
      </c>
      <c r="P38" s="15" t="s">
        <v>71</v>
      </c>
      <c r="Q38" s="9" t="s">
        <v>72</v>
      </c>
      <c r="R38" s="9"/>
      <c r="S38" s="17" t="s">
        <v>27</v>
      </c>
      <c r="T38" s="17"/>
      <c r="U38" s="17"/>
      <c r="V38" s="17" t="s">
        <v>81</v>
      </c>
      <c r="W38" s="17"/>
      <c r="X38" s="17"/>
      <c r="Y38" s="15" t="s">
        <v>66</v>
      </c>
      <c r="Z38" s="112"/>
      <c r="AA38" s="113"/>
    </row>
    <row r="39" ht="20" customHeight="1" spans="1:27">
      <c r="A39" s="20">
        <v>27</v>
      </c>
      <c r="B39" s="104">
        <v>8302490000</v>
      </c>
      <c r="C39" s="105">
        <v>8302490000</v>
      </c>
      <c r="D39" s="106" t="s">
        <v>91</v>
      </c>
      <c r="E39" s="107" t="s">
        <v>92</v>
      </c>
      <c r="F39" s="108" t="s">
        <v>92</v>
      </c>
      <c r="G39" s="109" t="s">
        <v>93</v>
      </c>
      <c r="H39" s="110"/>
      <c r="I39" s="110"/>
      <c r="J39" s="111"/>
      <c r="K39" s="22">
        <v>5</v>
      </c>
      <c r="L39" s="15" t="s">
        <v>70</v>
      </c>
      <c r="M39" s="15">
        <f>+K39*0.5</f>
        <v>2.5</v>
      </c>
      <c r="N39" s="24">
        <v>5.14</v>
      </c>
      <c r="O39" s="15">
        <f t="shared" si="1"/>
        <v>25.7</v>
      </c>
      <c r="P39" s="15" t="s">
        <v>71</v>
      </c>
      <c r="Q39" s="9" t="s">
        <v>72</v>
      </c>
      <c r="R39" s="9"/>
      <c r="S39" s="17" t="s">
        <v>27</v>
      </c>
      <c r="T39" s="17"/>
      <c r="U39" s="17"/>
      <c r="V39" s="17" t="s">
        <v>94</v>
      </c>
      <c r="W39" s="17"/>
      <c r="X39" s="17"/>
      <c r="Y39" s="15" t="s">
        <v>66</v>
      </c>
      <c r="Z39" s="112"/>
      <c r="AA39" s="113"/>
    </row>
    <row r="40" ht="20" customHeight="1" spans="1:27">
      <c r="A40" s="20">
        <v>28</v>
      </c>
      <c r="B40" s="104">
        <v>5601229000</v>
      </c>
      <c r="C40" s="105">
        <v>5601229000</v>
      </c>
      <c r="D40" s="106" t="s">
        <v>95</v>
      </c>
      <c r="E40" s="107" t="s">
        <v>85</v>
      </c>
      <c r="F40" s="108" t="s">
        <v>85</v>
      </c>
      <c r="G40" s="109" t="s">
        <v>96</v>
      </c>
      <c r="H40" s="110"/>
      <c r="I40" s="110"/>
      <c r="J40" s="111"/>
      <c r="K40" s="22">
        <v>3</v>
      </c>
      <c r="L40" s="15" t="s">
        <v>70</v>
      </c>
      <c r="M40" s="15">
        <f>3*0.27</f>
        <v>0.81</v>
      </c>
      <c r="N40" s="24">
        <v>2.06088</v>
      </c>
      <c r="O40" s="15">
        <f t="shared" si="1"/>
        <v>6.18264</v>
      </c>
      <c r="P40" s="15" t="s">
        <v>71</v>
      </c>
      <c r="Q40" s="9" t="s">
        <v>72</v>
      </c>
      <c r="R40" s="9"/>
      <c r="S40" s="17" t="s">
        <v>27</v>
      </c>
      <c r="T40" s="17"/>
      <c r="U40" s="17"/>
      <c r="V40" s="17" t="s">
        <v>87</v>
      </c>
      <c r="W40" s="17"/>
      <c r="X40" s="17"/>
      <c r="Y40" s="15" t="s">
        <v>66</v>
      </c>
      <c r="Z40" s="112"/>
      <c r="AA40" s="113"/>
    </row>
    <row r="41" ht="20" customHeight="1" spans="1:27">
      <c r="A41" s="20">
        <v>29</v>
      </c>
      <c r="B41" s="104">
        <v>5601229000</v>
      </c>
      <c r="C41" s="105">
        <v>5601229000</v>
      </c>
      <c r="D41" s="106" t="s">
        <v>84</v>
      </c>
      <c r="E41" s="107" t="s">
        <v>85</v>
      </c>
      <c r="F41" s="108" t="s">
        <v>85</v>
      </c>
      <c r="G41" s="109" t="s">
        <v>86</v>
      </c>
      <c r="H41" s="110"/>
      <c r="I41" s="110"/>
      <c r="J41" s="111"/>
      <c r="K41" s="22">
        <v>6</v>
      </c>
      <c r="L41" s="15" t="s">
        <v>70</v>
      </c>
      <c r="M41" s="15">
        <v>6</v>
      </c>
      <c r="N41" s="24">
        <v>3.83788</v>
      </c>
      <c r="O41" s="15">
        <f t="shared" si="1"/>
        <v>23.02728</v>
      </c>
      <c r="P41" s="15" t="s">
        <v>71</v>
      </c>
      <c r="Q41" s="9" t="s">
        <v>72</v>
      </c>
      <c r="R41" s="9"/>
      <c r="S41" s="17" t="s">
        <v>27</v>
      </c>
      <c r="T41" s="17"/>
      <c r="U41" s="17"/>
      <c r="V41" s="17" t="s">
        <v>87</v>
      </c>
      <c r="W41" s="17"/>
      <c r="X41" s="17"/>
      <c r="Y41" s="15" t="s">
        <v>66</v>
      </c>
      <c r="Z41" s="112"/>
      <c r="AA41" s="113"/>
    </row>
    <row r="42" ht="20" customHeight="1" spans="1:27">
      <c r="A42" s="20">
        <v>30</v>
      </c>
      <c r="B42" s="104">
        <v>3926909790</v>
      </c>
      <c r="C42" s="105">
        <v>3926909790</v>
      </c>
      <c r="D42" s="106" t="s">
        <v>88</v>
      </c>
      <c r="E42" s="107" t="s">
        <v>79</v>
      </c>
      <c r="F42" s="108" t="s">
        <v>79</v>
      </c>
      <c r="G42" s="109" t="s">
        <v>89</v>
      </c>
      <c r="H42" s="110"/>
      <c r="I42" s="110"/>
      <c r="J42" s="111"/>
      <c r="K42" s="22">
        <v>2</v>
      </c>
      <c r="L42" s="15" t="s">
        <v>90</v>
      </c>
      <c r="M42" s="15">
        <v>1.6</v>
      </c>
      <c r="N42" s="24">
        <v>2.199</v>
      </c>
      <c r="O42" s="15">
        <f t="shared" si="1"/>
        <v>4.398</v>
      </c>
      <c r="P42" s="15" t="s">
        <v>71</v>
      </c>
      <c r="Q42" s="9" t="s">
        <v>72</v>
      </c>
      <c r="R42" s="9"/>
      <c r="S42" s="17" t="s">
        <v>27</v>
      </c>
      <c r="T42" s="17"/>
      <c r="U42" s="17"/>
      <c r="V42" s="17" t="s">
        <v>81</v>
      </c>
      <c r="W42" s="17"/>
      <c r="X42" s="17"/>
      <c r="Y42" s="15" t="s">
        <v>66</v>
      </c>
      <c r="Z42" s="112">
        <v>17.6</v>
      </c>
      <c r="AA42" s="113">
        <v>8</v>
      </c>
    </row>
    <row r="43" ht="20" customHeight="1" spans="1:27">
      <c r="A43" s="20">
        <v>31</v>
      </c>
      <c r="B43" s="104">
        <v>3926909790</v>
      </c>
      <c r="C43" s="105">
        <v>3926909790</v>
      </c>
      <c r="D43" s="106" t="s">
        <v>78</v>
      </c>
      <c r="E43" s="107" t="s">
        <v>79</v>
      </c>
      <c r="F43" s="108" t="s">
        <v>79</v>
      </c>
      <c r="G43" s="109" t="s">
        <v>80</v>
      </c>
      <c r="H43" s="110"/>
      <c r="I43" s="110"/>
      <c r="J43" s="111"/>
      <c r="K43" s="22">
        <v>2</v>
      </c>
      <c r="L43" s="15" t="s">
        <v>70</v>
      </c>
      <c r="M43" s="15">
        <v>4</v>
      </c>
      <c r="N43" s="24">
        <v>7.04845</v>
      </c>
      <c r="O43" s="15">
        <f t="shared" si="1"/>
        <v>14.0969</v>
      </c>
      <c r="P43" s="15" t="s">
        <v>71</v>
      </c>
      <c r="Q43" s="9" t="s">
        <v>72</v>
      </c>
      <c r="R43" s="9"/>
      <c r="S43" s="17" t="s">
        <v>27</v>
      </c>
      <c r="T43" s="17"/>
      <c r="U43" s="17"/>
      <c r="V43" s="17" t="s">
        <v>81</v>
      </c>
      <c r="W43" s="17"/>
      <c r="X43" s="17"/>
      <c r="Y43" s="15" t="s">
        <v>66</v>
      </c>
      <c r="Z43" s="112"/>
      <c r="AA43" s="113"/>
    </row>
    <row r="44" ht="20" customHeight="1" spans="1:27">
      <c r="A44" s="20">
        <v>32</v>
      </c>
      <c r="B44" s="104">
        <v>8302490000</v>
      </c>
      <c r="C44" s="105">
        <v>8302490000</v>
      </c>
      <c r="D44" s="106" t="s">
        <v>91</v>
      </c>
      <c r="E44" s="107" t="s">
        <v>92</v>
      </c>
      <c r="F44" s="108" t="s">
        <v>92</v>
      </c>
      <c r="G44" s="109" t="s">
        <v>93</v>
      </c>
      <c r="H44" s="110"/>
      <c r="I44" s="110"/>
      <c r="J44" s="111"/>
      <c r="K44" s="22">
        <v>5</v>
      </c>
      <c r="L44" s="15" t="s">
        <v>70</v>
      </c>
      <c r="M44" s="15">
        <f>+K44*0.5</f>
        <v>2.5</v>
      </c>
      <c r="N44" s="24">
        <v>5.14</v>
      </c>
      <c r="O44" s="15">
        <f t="shared" si="1"/>
        <v>25.7</v>
      </c>
      <c r="P44" s="15" t="s">
        <v>71</v>
      </c>
      <c r="Q44" s="9" t="s">
        <v>72</v>
      </c>
      <c r="R44" s="9"/>
      <c r="S44" s="17" t="s">
        <v>27</v>
      </c>
      <c r="T44" s="17"/>
      <c r="U44" s="17"/>
      <c r="V44" s="17" t="s">
        <v>94</v>
      </c>
      <c r="W44" s="17"/>
      <c r="X44" s="17"/>
      <c r="Y44" s="15" t="s">
        <v>66</v>
      </c>
      <c r="Z44" s="112"/>
      <c r="AA44" s="113"/>
    </row>
    <row r="45" ht="20" customHeight="1" spans="1:27">
      <c r="A45" s="20">
        <v>33</v>
      </c>
      <c r="B45" s="104">
        <v>5601229000</v>
      </c>
      <c r="C45" s="105">
        <v>5601229000</v>
      </c>
      <c r="D45" s="106" t="s">
        <v>95</v>
      </c>
      <c r="E45" s="107" t="s">
        <v>85</v>
      </c>
      <c r="F45" s="108" t="s">
        <v>85</v>
      </c>
      <c r="G45" s="109" t="s">
        <v>96</v>
      </c>
      <c r="H45" s="110"/>
      <c r="I45" s="110"/>
      <c r="J45" s="111"/>
      <c r="K45" s="22">
        <v>3</v>
      </c>
      <c r="L45" s="15" t="s">
        <v>70</v>
      </c>
      <c r="M45" s="15">
        <f>3*0.27</f>
        <v>0.81</v>
      </c>
      <c r="N45" s="24">
        <v>2.06088</v>
      </c>
      <c r="O45" s="15">
        <f t="shared" si="1"/>
        <v>6.18264</v>
      </c>
      <c r="P45" s="15" t="s">
        <v>71</v>
      </c>
      <c r="Q45" s="9" t="s">
        <v>72</v>
      </c>
      <c r="R45" s="9"/>
      <c r="S45" s="17" t="s">
        <v>27</v>
      </c>
      <c r="T45" s="17"/>
      <c r="U45" s="17"/>
      <c r="V45" s="17" t="s">
        <v>87</v>
      </c>
      <c r="W45" s="17"/>
      <c r="X45" s="17"/>
      <c r="Y45" s="15" t="s">
        <v>66</v>
      </c>
      <c r="Z45" s="112"/>
      <c r="AA45" s="113"/>
    </row>
    <row r="46" ht="20" customHeight="1" spans="1:27">
      <c r="A46" s="20">
        <v>34</v>
      </c>
      <c r="B46" s="104">
        <v>5601229000</v>
      </c>
      <c r="C46" s="105">
        <v>5601229000</v>
      </c>
      <c r="D46" s="106" t="s">
        <v>84</v>
      </c>
      <c r="E46" s="107" t="s">
        <v>85</v>
      </c>
      <c r="F46" s="108" t="s">
        <v>85</v>
      </c>
      <c r="G46" s="109" t="s">
        <v>86</v>
      </c>
      <c r="H46" s="110"/>
      <c r="I46" s="110"/>
      <c r="J46" s="111"/>
      <c r="K46" s="22">
        <v>6</v>
      </c>
      <c r="L46" s="15" t="s">
        <v>70</v>
      </c>
      <c r="M46" s="15">
        <v>6</v>
      </c>
      <c r="N46" s="24">
        <v>3.83788</v>
      </c>
      <c r="O46" s="15">
        <f t="shared" si="1"/>
        <v>23.02728</v>
      </c>
      <c r="P46" s="15" t="s">
        <v>71</v>
      </c>
      <c r="Q46" s="9" t="s">
        <v>72</v>
      </c>
      <c r="R46" s="9"/>
      <c r="S46" s="17" t="s">
        <v>27</v>
      </c>
      <c r="T46" s="17"/>
      <c r="U46" s="17"/>
      <c r="V46" s="17" t="s">
        <v>87</v>
      </c>
      <c r="W46" s="17"/>
      <c r="X46" s="17"/>
      <c r="Y46" s="15" t="s">
        <v>66</v>
      </c>
      <c r="Z46" s="112"/>
      <c r="AA46" s="113"/>
    </row>
    <row r="47" ht="20" customHeight="1" spans="1:27">
      <c r="A47" s="20">
        <v>35</v>
      </c>
      <c r="B47" s="104">
        <v>3926909790</v>
      </c>
      <c r="C47" s="105">
        <v>3926909790</v>
      </c>
      <c r="D47" s="106" t="s">
        <v>88</v>
      </c>
      <c r="E47" s="107" t="s">
        <v>79</v>
      </c>
      <c r="F47" s="108" t="s">
        <v>79</v>
      </c>
      <c r="G47" s="109" t="s">
        <v>89</v>
      </c>
      <c r="H47" s="110"/>
      <c r="I47" s="110"/>
      <c r="J47" s="111"/>
      <c r="K47" s="22">
        <v>2</v>
      </c>
      <c r="L47" s="15" t="s">
        <v>90</v>
      </c>
      <c r="M47" s="15">
        <v>1.6</v>
      </c>
      <c r="N47" s="24">
        <v>2.199</v>
      </c>
      <c r="O47" s="15">
        <f t="shared" si="1"/>
        <v>4.398</v>
      </c>
      <c r="P47" s="15" t="s">
        <v>71</v>
      </c>
      <c r="Q47" s="9" t="s">
        <v>72</v>
      </c>
      <c r="R47" s="9"/>
      <c r="S47" s="17" t="s">
        <v>27</v>
      </c>
      <c r="T47" s="17"/>
      <c r="U47" s="17"/>
      <c r="V47" s="17" t="s">
        <v>81</v>
      </c>
      <c r="W47" s="17"/>
      <c r="X47" s="17"/>
      <c r="Y47" s="15" t="s">
        <v>66</v>
      </c>
      <c r="Z47" s="112">
        <v>17.5</v>
      </c>
      <c r="AA47" s="113">
        <v>9</v>
      </c>
    </row>
    <row r="48" ht="20" customHeight="1" spans="1:27">
      <c r="A48" s="20">
        <v>36</v>
      </c>
      <c r="B48" s="104">
        <v>3926909790</v>
      </c>
      <c r="C48" s="105">
        <v>3926909790</v>
      </c>
      <c r="D48" s="106" t="s">
        <v>78</v>
      </c>
      <c r="E48" s="107" t="s">
        <v>79</v>
      </c>
      <c r="F48" s="108" t="s">
        <v>79</v>
      </c>
      <c r="G48" s="109" t="s">
        <v>80</v>
      </c>
      <c r="H48" s="110"/>
      <c r="I48" s="110"/>
      <c r="J48" s="111"/>
      <c r="K48" s="22">
        <v>2</v>
      </c>
      <c r="L48" s="15" t="s">
        <v>70</v>
      </c>
      <c r="M48" s="15">
        <v>4</v>
      </c>
      <c r="N48" s="24">
        <v>7.04845</v>
      </c>
      <c r="O48" s="15">
        <f t="shared" si="1"/>
        <v>14.0969</v>
      </c>
      <c r="P48" s="15" t="s">
        <v>71</v>
      </c>
      <c r="Q48" s="9" t="s">
        <v>72</v>
      </c>
      <c r="R48" s="9"/>
      <c r="S48" s="17" t="s">
        <v>27</v>
      </c>
      <c r="T48" s="17"/>
      <c r="U48" s="17"/>
      <c r="V48" s="17" t="s">
        <v>81</v>
      </c>
      <c r="W48" s="17"/>
      <c r="X48" s="17"/>
      <c r="Y48" s="15" t="s">
        <v>66</v>
      </c>
      <c r="Z48" s="112"/>
      <c r="AA48" s="113"/>
    </row>
    <row r="49" ht="20" customHeight="1" spans="1:27">
      <c r="A49" s="20">
        <v>37</v>
      </c>
      <c r="B49" s="104">
        <v>8302490000</v>
      </c>
      <c r="C49" s="105">
        <v>8302490000</v>
      </c>
      <c r="D49" s="106" t="s">
        <v>91</v>
      </c>
      <c r="E49" s="107" t="s">
        <v>92</v>
      </c>
      <c r="F49" s="108" t="s">
        <v>92</v>
      </c>
      <c r="G49" s="109" t="s">
        <v>93</v>
      </c>
      <c r="H49" s="110"/>
      <c r="I49" s="110"/>
      <c r="J49" s="111"/>
      <c r="K49" s="22">
        <v>5</v>
      </c>
      <c r="L49" s="15" t="s">
        <v>70</v>
      </c>
      <c r="M49" s="15">
        <f>+K49*0.5</f>
        <v>2.5</v>
      </c>
      <c r="N49" s="24">
        <v>5.14</v>
      </c>
      <c r="O49" s="15">
        <f t="shared" si="1"/>
        <v>25.7</v>
      </c>
      <c r="P49" s="15" t="s">
        <v>71</v>
      </c>
      <c r="Q49" s="9" t="s">
        <v>72</v>
      </c>
      <c r="R49" s="9"/>
      <c r="S49" s="17" t="s">
        <v>27</v>
      </c>
      <c r="T49" s="17"/>
      <c r="U49" s="17"/>
      <c r="V49" s="17" t="s">
        <v>94</v>
      </c>
      <c r="W49" s="17"/>
      <c r="X49" s="17"/>
      <c r="Y49" s="15" t="s">
        <v>66</v>
      </c>
      <c r="Z49" s="112"/>
      <c r="AA49" s="113"/>
    </row>
    <row r="50" ht="20" customHeight="1" spans="1:27">
      <c r="A50" s="20">
        <v>38</v>
      </c>
      <c r="B50" s="104">
        <v>5601229000</v>
      </c>
      <c r="C50" s="105">
        <v>5601229000</v>
      </c>
      <c r="D50" s="106" t="s">
        <v>95</v>
      </c>
      <c r="E50" s="107" t="s">
        <v>85</v>
      </c>
      <c r="F50" s="108" t="s">
        <v>85</v>
      </c>
      <c r="G50" s="109" t="s">
        <v>96</v>
      </c>
      <c r="H50" s="110"/>
      <c r="I50" s="110"/>
      <c r="J50" s="111"/>
      <c r="K50" s="22">
        <v>3</v>
      </c>
      <c r="L50" s="15" t="s">
        <v>70</v>
      </c>
      <c r="M50" s="15">
        <f>3*0.27</f>
        <v>0.81</v>
      </c>
      <c r="N50" s="24">
        <v>2.06088</v>
      </c>
      <c r="O50" s="15">
        <f t="shared" si="1"/>
        <v>6.18264</v>
      </c>
      <c r="P50" s="15" t="s">
        <v>71</v>
      </c>
      <c r="Q50" s="9" t="s">
        <v>72</v>
      </c>
      <c r="R50" s="9"/>
      <c r="S50" s="17" t="s">
        <v>27</v>
      </c>
      <c r="T50" s="17"/>
      <c r="U50" s="17"/>
      <c r="V50" s="17" t="s">
        <v>87</v>
      </c>
      <c r="W50" s="17"/>
      <c r="X50" s="17"/>
      <c r="Y50" s="15" t="s">
        <v>66</v>
      </c>
      <c r="Z50" s="112"/>
      <c r="AA50" s="113"/>
    </row>
    <row r="51" ht="20" customHeight="1" spans="1:27">
      <c r="A51" s="20">
        <v>39</v>
      </c>
      <c r="B51" s="104">
        <v>5601229000</v>
      </c>
      <c r="C51" s="105">
        <v>5601229000</v>
      </c>
      <c r="D51" s="106" t="s">
        <v>84</v>
      </c>
      <c r="E51" s="107" t="s">
        <v>85</v>
      </c>
      <c r="F51" s="108" t="s">
        <v>85</v>
      </c>
      <c r="G51" s="109" t="s">
        <v>86</v>
      </c>
      <c r="H51" s="110"/>
      <c r="I51" s="110"/>
      <c r="J51" s="111"/>
      <c r="K51" s="22">
        <v>6</v>
      </c>
      <c r="L51" s="15" t="s">
        <v>70</v>
      </c>
      <c r="M51" s="15">
        <v>6</v>
      </c>
      <c r="N51" s="24">
        <v>3.83788</v>
      </c>
      <c r="O51" s="15">
        <f t="shared" si="1"/>
        <v>23.02728</v>
      </c>
      <c r="P51" s="15" t="s">
        <v>71</v>
      </c>
      <c r="Q51" s="9" t="s">
        <v>72</v>
      </c>
      <c r="R51" s="9"/>
      <c r="S51" s="17" t="s">
        <v>27</v>
      </c>
      <c r="T51" s="17"/>
      <c r="U51" s="17"/>
      <c r="V51" s="17" t="s">
        <v>87</v>
      </c>
      <c r="W51" s="17"/>
      <c r="X51" s="17"/>
      <c r="Y51" s="15" t="s">
        <v>66</v>
      </c>
      <c r="Z51" s="112"/>
      <c r="AA51" s="113"/>
    </row>
    <row r="52" ht="20" customHeight="1" spans="1:27">
      <c r="A52" s="20">
        <v>40</v>
      </c>
      <c r="B52" s="104">
        <v>4008110000</v>
      </c>
      <c r="C52" s="105">
        <v>4008110000</v>
      </c>
      <c r="D52" s="106" t="s">
        <v>67</v>
      </c>
      <c r="E52" s="107" t="s">
        <v>68</v>
      </c>
      <c r="F52" s="108" t="s">
        <v>68</v>
      </c>
      <c r="G52" s="109" t="s">
        <v>69</v>
      </c>
      <c r="H52" s="110"/>
      <c r="I52" s="110"/>
      <c r="J52" s="111"/>
      <c r="K52" s="22">
        <v>2</v>
      </c>
      <c r="L52" s="15" t="s">
        <v>70</v>
      </c>
      <c r="M52" s="15">
        <f>+K52*1.35</f>
        <v>2.7</v>
      </c>
      <c r="N52" s="24">
        <v>7.17</v>
      </c>
      <c r="O52" s="15">
        <f t="shared" si="1"/>
        <v>14.34</v>
      </c>
      <c r="P52" s="15" t="s">
        <v>71</v>
      </c>
      <c r="Q52" s="9" t="s">
        <v>72</v>
      </c>
      <c r="R52" s="9"/>
      <c r="S52" s="17" t="s">
        <v>27</v>
      </c>
      <c r="T52" s="17"/>
      <c r="U52" s="17"/>
      <c r="V52" s="17" t="s">
        <v>73</v>
      </c>
      <c r="W52" s="17"/>
      <c r="X52" s="17"/>
      <c r="Y52" s="15" t="s">
        <v>66</v>
      </c>
      <c r="Z52" s="112">
        <v>17.8</v>
      </c>
      <c r="AA52" s="113">
        <v>10</v>
      </c>
    </row>
    <row r="53" ht="20" customHeight="1" spans="1:27">
      <c r="A53" s="20">
        <v>41</v>
      </c>
      <c r="B53" s="104">
        <v>3926909790</v>
      </c>
      <c r="C53" s="105">
        <v>3926909790</v>
      </c>
      <c r="D53" s="106" t="s">
        <v>78</v>
      </c>
      <c r="E53" s="107" t="s">
        <v>79</v>
      </c>
      <c r="F53" s="108" t="s">
        <v>79</v>
      </c>
      <c r="G53" s="109" t="s">
        <v>80</v>
      </c>
      <c r="H53" s="110"/>
      <c r="I53" s="110"/>
      <c r="J53" s="111"/>
      <c r="K53" s="22">
        <v>3</v>
      </c>
      <c r="L53" s="15" t="s">
        <v>70</v>
      </c>
      <c r="M53" s="15">
        <v>6</v>
      </c>
      <c r="N53" s="24">
        <v>10.574</v>
      </c>
      <c r="O53" s="15">
        <f t="shared" si="1"/>
        <v>31.722</v>
      </c>
      <c r="P53" s="15" t="s">
        <v>71</v>
      </c>
      <c r="Q53" s="9" t="s">
        <v>72</v>
      </c>
      <c r="R53" s="9"/>
      <c r="S53" s="17" t="s">
        <v>27</v>
      </c>
      <c r="T53" s="17"/>
      <c r="U53" s="17"/>
      <c r="V53" s="17" t="s">
        <v>81</v>
      </c>
      <c r="W53" s="17"/>
      <c r="X53" s="17"/>
      <c r="Y53" s="15" t="s">
        <v>66</v>
      </c>
      <c r="Z53" s="112"/>
      <c r="AA53" s="113"/>
    </row>
    <row r="54" ht="20" customHeight="1" spans="1:27">
      <c r="A54" s="20">
        <v>42</v>
      </c>
      <c r="B54" s="104">
        <v>8302490000</v>
      </c>
      <c r="C54" s="105">
        <v>8302490000</v>
      </c>
      <c r="D54" s="106" t="s">
        <v>91</v>
      </c>
      <c r="E54" s="107" t="s">
        <v>92</v>
      </c>
      <c r="F54" s="108" t="s">
        <v>92</v>
      </c>
      <c r="G54" s="109" t="s">
        <v>93</v>
      </c>
      <c r="H54" s="110"/>
      <c r="I54" s="110"/>
      <c r="J54" s="111"/>
      <c r="K54" s="22">
        <v>6</v>
      </c>
      <c r="L54" s="15" t="s">
        <v>70</v>
      </c>
      <c r="M54" s="15">
        <f>+K54*0.5</f>
        <v>3</v>
      </c>
      <c r="N54" s="24">
        <v>5.14</v>
      </c>
      <c r="O54" s="15">
        <f t="shared" si="1"/>
        <v>30.84</v>
      </c>
      <c r="P54" s="15" t="s">
        <v>71</v>
      </c>
      <c r="Q54" s="9" t="s">
        <v>72</v>
      </c>
      <c r="R54" s="9"/>
      <c r="S54" s="17" t="s">
        <v>27</v>
      </c>
      <c r="T54" s="17"/>
      <c r="U54" s="17"/>
      <c r="V54" s="17" t="s">
        <v>94</v>
      </c>
      <c r="W54" s="17"/>
      <c r="X54" s="17"/>
      <c r="Y54" s="15" t="s">
        <v>66</v>
      </c>
      <c r="Z54" s="112"/>
      <c r="AA54" s="113"/>
    </row>
    <row r="55" ht="20" customHeight="1" spans="1:27">
      <c r="A55" s="20">
        <v>43</v>
      </c>
      <c r="B55" s="104">
        <v>5601229000</v>
      </c>
      <c r="C55" s="105">
        <v>5601229000</v>
      </c>
      <c r="D55" s="106" t="s">
        <v>95</v>
      </c>
      <c r="E55" s="107" t="s">
        <v>85</v>
      </c>
      <c r="F55" s="108" t="s">
        <v>85</v>
      </c>
      <c r="G55" s="109" t="s">
        <v>96</v>
      </c>
      <c r="H55" s="110"/>
      <c r="I55" s="110"/>
      <c r="J55" s="111"/>
      <c r="K55" s="22">
        <v>1</v>
      </c>
      <c r="L55" s="15" t="s">
        <v>70</v>
      </c>
      <c r="M55" s="15">
        <v>0.27</v>
      </c>
      <c r="N55" s="24">
        <v>2.06088</v>
      </c>
      <c r="O55" s="15">
        <f t="shared" si="1"/>
        <v>2.06088</v>
      </c>
      <c r="P55" s="15" t="s">
        <v>71</v>
      </c>
      <c r="Q55" s="9" t="s">
        <v>72</v>
      </c>
      <c r="R55" s="9"/>
      <c r="S55" s="17" t="s">
        <v>27</v>
      </c>
      <c r="T55" s="17"/>
      <c r="U55" s="17"/>
      <c r="V55" s="17" t="s">
        <v>87</v>
      </c>
      <c r="W55" s="17"/>
      <c r="X55" s="17"/>
      <c r="Y55" s="15" t="s">
        <v>66</v>
      </c>
      <c r="Z55" s="112"/>
      <c r="AA55" s="113"/>
    </row>
    <row r="56" ht="20" customHeight="1" spans="1:27">
      <c r="A56" s="20">
        <v>44</v>
      </c>
      <c r="B56" s="104">
        <v>5601229000</v>
      </c>
      <c r="C56" s="105">
        <v>5601229000</v>
      </c>
      <c r="D56" s="106" t="s">
        <v>84</v>
      </c>
      <c r="E56" s="107" t="s">
        <v>85</v>
      </c>
      <c r="F56" s="108" t="s">
        <v>85</v>
      </c>
      <c r="G56" s="109" t="s">
        <v>86</v>
      </c>
      <c r="H56" s="110"/>
      <c r="I56" s="110"/>
      <c r="J56" s="111"/>
      <c r="K56" s="22">
        <v>3</v>
      </c>
      <c r="L56" s="15" t="s">
        <v>70</v>
      </c>
      <c r="M56" s="15">
        <v>3</v>
      </c>
      <c r="N56" s="24">
        <v>3.83788</v>
      </c>
      <c r="O56" s="15">
        <f t="shared" si="1"/>
        <v>11.51364</v>
      </c>
      <c r="P56" s="15" t="s">
        <v>71</v>
      </c>
      <c r="Q56" s="9" t="s">
        <v>72</v>
      </c>
      <c r="R56" s="9"/>
      <c r="S56" s="17" t="s">
        <v>27</v>
      </c>
      <c r="T56" s="17"/>
      <c r="U56" s="17"/>
      <c r="V56" s="17" t="s">
        <v>87</v>
      </c>
      <c r="W56" s="17"/>
      <c r="X56" s="17"/>
      <c r="Y56" s="15" t="s">
        <v>66</v>
      </c>
      <c r="Z56" s="112"/>
      <c r="AA56" s="113"/>
    </row>
    <row r="57" ht="20" customHeight="1" spans="1:27">
      <c r="A57" s="20">
        <v>45</v>
      </c>
      <c r="B57" s="104">
        <v>3926909790</v>
      </c>
      <c r="C57" s="105">
        <v>3926909790</v>
      </c>
      <c r="D57" s="106" t="s">
        <v>88</v>
      </c>
      <c r="E57" s="107" t="s">
        <v>79</v>
      </c>
      <c r="F57" s="108" t="s">
        <v>79</v>
      </c>
      <c r="G57" s="109" t="s">
        <v>89</v>
      </c>
      <c r="H57" s="110"/>
      <c r="I57" s="110"/>
      <c r="J57" s="111"/>
      <c r="K57" s="22">
        <v>2</v>
      </c>
      <c r="L57" s="15" t="s">
        <v>90</v>
      </c>
      <c r="M57" s="15">
        <v>1.6</v>
      </c>
      <c r="N57" s="24">
        <v>2.199</v>
      </c>
      <c r="O57" s="15">
        <f t="shared" si="1"/>
        <v>4.398</v>
      </c>
      <c r="P57" s="15" t="s">
        <v>71</v>
      </c>
      <c r="Q57" s="9" t="s">
        <v>72</v>
      </c>
      <c r="R57" s="9"/>
      <c r="S57" s="17" t="s">
        <v>27</v>
      </c>
      <c r="T57" s="17"/>
      <c r="U57" s="17"/>
      <c r="V57" s="17" t="s">
        <v>81</v>
      </c>
      <c r="W57" s="17"/>
      <c r="X57" s="17"/>
      <c r="Y57" s="15" t="s">
        <v>66</v>
      </c>
      <c r="Z57" s="112">
        <v>18.6</v>
      </c>
      <c r="AA57" s="113">
        <v>11</v>
      </c>
    </row>
    <row r="58" ht="20" customHeight="1" spans="1:27">
      <c r="A58" s="20">
        <v>46</v>
      </c>
      <c r="B58" s="104">
        <v>3926909790</v>
      </c>
      <c r="C58" s="105">
        <v>3926909790</v>
      </c>
      <c r="D58" s="106" t="s">
        <v>78</v>
      </c>
      <c r="E58" s="107" t="s">
        <v>79</v>
      </c>
      <c r="F58" s="108" t="s">
        <v>79</v>
      </c>
      <c r="G58" s="109" t="s">
        <v>80</v>
      </c>
      <c r="H58" s="110"/>
      <c r="I58" s="110"/>
      <c r="J58" s="111"/>
      <c r="K58" s="22">
        <v>2</v>
      </c>
      <c r="L58" s="15" t="s">
        <v>70</v>
      </c>
      <c r="M58" s="15">
        <v>4</v>
      </c>
      <c r="N58" s="24">
        <v>7.04845</v>
      </c>
      <c r="O58" s="15">
        <f t="shared" si="1"/>
        <v>14.0969</v>
      </c>
      <c r="P58" s="15" t="s">
        <v>71</v>
      </c>
      <c r="Q58" s="9" t="s">
        <v>72</v>
      </c>
      <c r="R58" s="9"/>
      <c r="S58" s="17" t="s">
        <v>27</v>
      </c>
      <c r="T58" s="17"/>
      <c r="U58" s="17"/>
      <c r="V58" s="17" t="s">
        <v>81</v>
      </c>
      <c r="W58" s="17"/>
      <c r="X58" s="17"/>
      <c r="Y58" s="15" t="s">
        <v>66</v>
      </c>
      <c r="Z58" s="112"/>
      <c r="AA58" s="113"/>
    </row>
    <row r="59" ht="20" customHeight="1" spans="1:27">
      <c r="A59" s="20">
        <v>47</v>
      </c>
      <c r="B59" s="104">
        <v>3926909790</v>
      </c>
      <c r="C59" s="105">
        <v>3926909790</v>
      </c>
      <c r="D59" s="106" t="s">
        <v>82</v>
      </c>
      <c r="E59" s="107" t="s">
        <v>79</v>
      </c>
      <c r="F59" s="108" t="s">
        <v>79</v>
      </c>
      <c r="G59" s="109" t="s">
        <v>83</v>
      </c>
      <c r="H59" s="110"/>
      <c r="I59" s="110"/>
      <c r="J59" s="111"/>
      <c r="K59" s="22">
        <v>1</v>
      </c>
      <c r="L59" s="15" t="s">
        <v>70</v>
      </c>
      <c r="M59" s="15">
        <v>1</v>
      </c>
      <c r="N59" s="24">
        <v>3.525</v>
      </c>
      <c r="O59" s="15">
        <f t="shared" si="1"/>
        <v>3.525</v>
      </c>
      <c r="P59" s="15" t="s">
        <v>71</v>
      </c>
      <c r="Q59" s="9" t="s">
        <v>72</v>
      </c>
      <c r="R59" s="9"/>
      <c r="S59" s="17" t="s">
        <v>27</v>
      </c>
      <c r="T59" s="17"/>
      <c r="U59" s="17"/>
      <c r="V59" s="17" t="s">
        <v>81</v>
      </c>
      <c r="W59" s="17"/>
      <c r="X59" s="17"/>
      <c r="Y59" s="15" t="s">
        <v>66</v>
      </c>
      <c r="Z59" s="112"/>
      <c r="AA59" s="113"/>
    </row>
    <row r="60" ht="20" customHeight="1" spans="1:27">
      <c r="A60" s="20">
        <v>48</v>
      </c>
      <c r="B60" s="104">
        <v>8302490000</v>
      </c>
      <c r="C60" s="105">
        <v>8302490000</v>
      </c>
      <c r="D60" s="106" t="s">
        <v>91</v>
      </c>
      <c r="E60" s="107" t="s">
        <v>92</v>
      </c>
      <c r="F60" s="108" t="s">
        <v>92</v>
      </c>
      <c r="G60" s="109" t="s">
        <v>93</v>
      </c>
      <c r="H60" s="110"/>
      <c r="I60" s="110"/>
      <c r="J60" s="111"/>
      <c r="K60" s="22">
        <v>5</v>
      </c>
      <c r="L60" s="15" t="s">
        <v>70</v>
      </c>
      <c r="M60" s="15">
        <f>+K60*0.5</f>
        <v>2.5</v>
      </c>
      <c r="N60" s="24">
        <v>5.14</v>
      </c>
      <c r="O60" s="15">
        <f t="shared" si="1"/>
        <v>25.7</v>
      </c>
      <c r="P60" s="15" t="s">
        <v>71</v>
      </c>
      <c r="Q60" s="9" t="s">
        <v>72</v>
      </c>
      <c r="R60" s="9"/>
      <c r="S60" s="17" t="s">
        <v>27</v>
      </c>
      <c r="T60" s="17"/>
      <c r="U60" s="17"/>
      <c r="V60" s="17" t="s">
        <v>94</v>
      </c>
      <c r="W60" s="17"/>
      <c r="X60" s="17"/>
      <c r="Y60" s="15" t="s">
        <v>66</v>
      </c>
      <c r="Z60" s="112"/>
      <c r="AA60" s="113"/>
    </row>
    <row r="61" ht="20" customHeight="1" spans="1:27">
      <c r="A61" s="20">
        <v>49</v>
      </c>
      <c r="B61" s="104">
        <v>5601229000</v>
      </c>
      <c r="C61" s="105">
        <v>5601229000</v>
      </c>
      <c r="D61" s="106" t="s">
        <v>95</v>
      </c>
      <c r="E61" s="107" t="s">
        <v>85</v>
      </c>
      <c r="F61" s="108" t="s">
        <v>85</v>
      </c>
      <c r="G61" s="109" t="s">
        <v>96</v>
      </c>
      <c r="H61" s="110"/>
      <c r="I61" s="110"/>
      <c r="J61" s="111"/>
      <c r="K61" s="22">
        <v>3</v>
      </c>
      <c r="L61" s="15" t="s">
        <v>70</v>
      </c>
      <c r="M61" s="15">
        <f>3*0.27</f>
        <v>0.81</v>
      </c>
      <c r="N61" s="24">
        <v>2.06088</v>
      </c>
      <c r="O61" s="15">
        <f t="shared" si="1"/>
        <v>6.18264</v>
      </c>
      <c r="P61" s="15" t="s">
        <v>71</v>
      </c>
      <c r="Q61" s="9" t="s">
        <v>72</v>
      </c>
      <c r="R61" s="9"/>
      <c r="S61" s="17" t="s">
        <v>27</v>
      </c>
      <c r="T61" s="17"/>
      <c r="U61" s="17"/>
      <c r="V61" s="17" t="s">
        <v>87</v>
      </c>
      <c r="W61" s="17"/>
      <c r="X61" s="17"/>
      <c r="Y61" s="15" t="s">
        <v>66</v>
      </c>
      <c r="Z61" s="112"/>
      <c r="AA61" s="113"/>
    </row>
    <row r="62" ht="20" customHeight="1" spans="1:27">
      <c r="A62" s="20">
        <v>50</v>
      </c>
      <c r="B62" s="104">
        <v>5601229000</v>
      </c>
      <c r="C62" s="105">
        <v>5601229000</v>
      </c>
      <c r="D62" s="106" t="s">
        <v>84</v>
      </c>
      <c r="E62" s="107" t="s">
        <v>85</v>
      </c>
      <c r="F62" s="108" t="s">
        <v>85</v>
      </c>
      <c r="G62" s="109" t="s">
        <v>86</v>
      </c>
      <c r="H62" s="110"/>
      <c r="I62" s="110"/>
      <c r="J62" s="111"/>
      <c r="K62" s="22">
        <v>6</v>
      </c>
      <c r="L62" s="15" t="s">
        <v>70</v>
      </c>
      <c r="M62" s="15">
        <v>6</v>
      </c>
      <c r="N62" s="24">
        <v>3.83788</v>
      </c>
      <c r="O62" s="15">
        <f t="shared" si="1"/>
        <v>23.02728</v>
      </c>
      <c r="P62" s="15" t="s">
        <v>71</v>
      </c>
      <c r="Q62" s="9" t="s">
        <v>72</v>
      </c>
      <c r="R62" s="9"/>
      <c r="S62" s="17" t="s">
        <v>27</v>
      </c>
      <c r="T62" s="17"/>
      <c r="U62" s="17"/>
      <c r="V62" s="17" t="s">
        <v>87</v>
      </c>
      <c r="W62" s="17"/>
      <c r="X62" s="17"/>
      <c r="Y62" s="15" t="s">
        <v>66</v>
      </c>
      <c r="Z62" s="112"/>
      <c r="AA62" s="113"/>
    </row>
    <row r="63" ht="20" customHeight="1" spans="1:27">
      <c r="A63" s="20">
        <v>51</v>
      </c>
      <c r="B63" s="104">
        <v>3926909790</v>
      </c>
      <c r="C63" s="105">
        <v>3926909790</v>
      </c>
      <c r="D63" s="106" t="s">
        <v>88</v>
      </c>
      <c r="E63" s="107" t="s">
        <v>79</v>
      </c>
      <c r="F63" s="108" t="s">
        <v>79</v>
      </c>
      <c r="G63" s="109" t="s">
        <v>89</v>
      </c>
      <c r="H63" s="110"/>
      <c r="I63" s="110"/>
      <c r="J63" s="111"/>
      <c r="K63" s="22">
        <v>2</v>
      </c>
      <c r="L63" s="15" t="s">
        <v>90</v>
      </c>
      <c r="M63" s="15">
        <v>1.6</v>
      </c>
      <c r="N63" s="24">
        <v>2.199</v>
      </c>
      <c r="O63" s="15">
        <f t="shared" si="1"/>
        <v>4.398</v>
      </c>
      <c r="P63" s="15" t="s">
        <v>71</v>
      </c>
      <c r="Q63" s="9" t="s">
        <v>72</v>
      </c>
      <c r="R63" s="9"/>
      <c r="S63" s="17" t="s">
        <v>27</v>
      </c>
      <c r="T63" s="17"/>
      <c r="U63" s="17"/>
      <c r="V63" s="17" t="s">
        <v>81</v>
      </c>
      <c r="W63" s="17"/>
      <c r="X63" s="17"/>
      <c r="Y63" s="15" t="s">
        <v>66</v>
      </c>
      <c r="Z63" s="112">
        <v>17.6</v>
      </c>
      <c r="AA63" s="113">
        <v>12</v>
      </c>
    </row>
    <row r="64" ht="20" customHeight="1" spans="1:27">
      <c r="A64" s="20">
        <v>52</v>
      </c>
      <c r="B64" s="104">
        <v>3926909790</v>
      </c>
      <c r="C64" s="105">
        <v>3926909790</v>
      </c>
      <c r="D64" s="106" t="s">
        <v>78</v>
      </c>
      <c r="E64" s="107" t="s">
        <v>79</v>
      </c>
      <c r="F64" s="108" t="s">
        <v>79</v>
      </c>
      <c r="G64" s="109" t="s">
        <v>80</v>
      </c>
      <c r="H64" s="110"/>
      <c r="I64" s="110"/>
      <c r="J64" s="111"/>
      <c r="K64" s="22">
        <v>2</v>
      </c>
      <c r="L64" s="15" t="s">
        <v>70</v>
      </c>
      <c r="M64" s="15">
        <v>4</v>
      </c>
      <c r="N64" s="24">
        <v>7.04845</v>
      </c>
      <c r="O64" s="15">
        <f t="shared" si="1"/>
        <v>14.0969</v>
      </c>
      <c r="P64" s="15" t="s">
        <v>71</v>
      </c>
      <c r="Q64" s="9" t="s">
        <v>72</v>
      </c>
      <c r="R64" s="9"/>
      <c r="S64" s="17" t="s">
        <v>27</v>
      </c>
      <c r="T64" s="17"/>
      <c r="U64" s="17"/>
      <c r="V64" s="17" t="s">
        <v>81</v>
      </c>
      <c r="W64" s="17"/>
      <c r="X64" s="17"/>
      <c r="Y64" s="15" t="s">
        <v>66</v>
      </c>
      <c r="Z64" s="112"/>
      <c r="AA64" s="113"/>
    </row>
    <row r="65" ht="20" customHeight="1" spans="1:27">
      <c r="A65" s="20">
        <v>53</v>
      </c>
      <c r="B65" s="104">
        <v>8302490000</v>
      </c>
      <c r="C65" s="105">
        <v>8302490000</v>
      </c>
      <c r="D65" s="106" t="s">
        <v>91</v>
      </c>
      <c r="E65" s="107" t="s">
        <v>92</v>
      </c>
      <c r="F65" s="108" t="s">
        <v>92</v>
      </c>
      <c r="G65" s="109" t="s">
        <v>93</v>
      </c>
      <c r="H65" s="110"/>
      <c r="I65" s="110"/>
      <c r="J65" s="111"/>
      <c r="K65" s="22">
        <v>5</v>
      </c>
      <c r="L65" s="15" t="s">
        <v>70</v>
      </c>
      <c r="M65" s="15">
        <f>+K65*0.5</f>
        <v>2.5</v>
      </c>
      <c r="N65" s="24">
        <v>5.14</v>
      </c>
      <c r="O65" s="15">
        <f t="shared" si="1"/>
        <v>25.7</v>
      </c>
      <c r="P65" s="15" t="s">
        <v>71</v>
      </c>
      <c r="Q65" s="9" t="s">
        <v>72</v>
      </c>
      <c r="R65" s="9"/>
      <c r="S65" s="17" t="s">
        <v>27</v>
      </c>
      <c r="T65" s="17"/>
      <c r="U65" s="17"/>
      <c r="V65" s="17" t="s">
        <v>94</v>
      </c>
      <c r="W65" s="17"/>
      <c r="X65" s="17"/>
      <c r="Y65" s="15" t="s">
        <v>66</v>
      </c>
      <c r="Z65" s="112"/>
      <c r="AA65" s="113"/>
    </row>
    <row r="66" ht="20" customHeight="1" spans="1:27">
      <c r="A66" s="20">
        <v>54</v>
      </c>
      <c r="B66" s="104">
        <v>5601229000</v>
      </c>
      <c r="C66" s="105">
        <v>5601229000</v>
      </c>
      <c r="D66" s="106" t="s">
        <v>95</v>
      </c>
      <c r="E66" s="107" t="s">
        <v>85</v>
      </c>
      <c r="F66" s="108" t="s">
        <v>85</v>
      </c>
      <c r="G66" s="109" t="s">
        <v>96</v>
      </c>
      <c r="H66" s="110"/>
      <c r="I66" s="110"/>
      <c r="J66" s="111"/>
      <c r="K66" s="22">
        <v>3</v>
      </c>
      <c r="L66" s="15" t="s">
        <v>70</v>
      </c>
      <c r="M66" s="15">
        <f>3*0.27</f>
        <v>0.81</v>
      </c>
      <c r="N66" s="24">
        <v>2.06088</v>
      </c>
      <c r="O66" s="15">
        <f t="shared" si="1"/>
        <v>6.18264</v>
      </c>
      <c r="P66" s="15" t="s">
        <v>71</v>
      </c>
      <c r="Q66" s="9" t="s">
        <v>72</v>
      </c>
      <c r="R66" s="9"/>
      <c r="S66" s="17" t="s">
        <v>27</v>
      </c>
      <c r="T66" s="17"/>
      <c r="U66" s="17"/>
      <c r="V66" s="17" t="s">
        <v>87</v>
      </c>
      <c r="W66" s="17"/>
      <c r="X66" s="17"/>
      <c r="Y66" s="15" t="s">
        <v>66</v>
      </c>
      <c r="Z66" s="112"/>
      <c r="AA66" s="113"/>
    </row>
    <row r="67" ht="20" customHeight="1" spans="1:27">
      <c r="A67" s="20">
        <v>55</v>
      </c>
      <c r="B67" s="104">
        <v>5601229000</v>
      </c>
      <c r="C67" s="105">
        <v>5601229000</v>
      </c>
      <c r="D67" s="106" t="s">
        <v>84</v>
      </c>
      <c r="E67" s="107" t="s">
        <v>85</v>
      </c>
      <c r="F67" s="108" t="s">
        <v>85</v>
      </c>
      <c r="G67" s="109" t="s">
        <v>86</v>
      </c>
      <c r="H67" s="110"/>
      <c r="I67" s="110"/>
      <c r="J67" s="111"/>
      <c r="K67" s="22">
        <v>6</v>
      </c>
      <c r="L67" s="15" t="s">
        <v>70</v>
      </c>
      <c r="M67" s="15">
        <v>6</v>
      </c>
      <c r="N67" s="24">
        <v>3.83788</v>
      </c>
      <c r="O67" s="15">
        <f t="shared" si="1"/>
        <v>23.02728</v>
      </c>
      <c r="P67" s="15" t="s">
        <v>71</v>
      </c>
      <c r="Q67" s="9" t="s">
        <v>72</v>
      </c>
      <c r="R67" s="9"/>
      <c r="S67" s="17" t="s">
        <v>27</v>
      </c>
      <c r="T67" s="17"/>
      <c r="U67" s="17"/>
      <c r="V67" s="17" t="s">
        <v>87</v>
      </c>
      <c r="W67" s="17"/>
      <c r="X67" s="17"/>
      <c r="Y67" s="15" t="s">
        <v>66</v>
      </c>
      <c r="Z67" s="112"/>
      <c r="AA67" s="113"/>
    </row>
    <row r="68" ht="20" customHeight="1" spans="1:27">
      <c r="A68" s="20">
        <v>56</v>
      </c>
      <c r="B68" s="104">
        <v>3926909790</v>
      </c>
      <c r="C68" s="105">
        <v>3926909790</v>
      </c>
      <c r="D68" s="106" t="s">
        <v>88</v>
      </c>
      <c r="E68" s="107" t="s">
        <v>79</v>
      </c>
      <c r="F68" s="108" t="s">
        <v>79</v>
      </c>
      <c r="G68" s="109" t="s">
        <v>89</v>
      </c>
      <c r="H68" s="110"/>
      <c r="I68" s="110"/>
      <c r="J68" s="111"/>
      <c r="K68" s="22">
        <v>2</v>
      </c>
      <c r="L68" s="15" t="s">
        <v>90</v>
      </c>
      <c r="M68" s="15">
        <v>1.6</v>
      </c>
      <c r="N68" s="24">
        <v>2.199</v>
      </c>
      <c r="O68" s="15">
        <f t="shared" si="1"/>
        <v>4.398</v>
      </c>
      <c r="P68" s="15" t="s">
        <v>71</v>
      </c>
      <c r="Q68" s="9" t="s">
        <v>72</v>
      </c>
      <c r="R68" s="9"/>
      <c r="S68" s="17" t="s">
        <v>27</v>
      </c>
      <c r="T68" s="17"/>
      <c r="U68" s="17"/>
      <c r="V68" s="17" t="s">
        <v>81</v>
      </c>
      <c r="W68" s="17"/>
      <c r="X68" s="17"/>
      <c r="Y68" s="15" t="s">
        <v>66</v>
      </c>
      <c r="Z68" s="112">
        <v>18.3</v>
      </c>
      <c r="AA68" s="113">
        <v>13</v>
      </c>
    </row>
    <row r="69" ht="20" customHeight="1" spans="1:27">
      <c r="A69" s="20">
        <v>57</v>
      </c>
      <c r="B69" s="104">
        <v>3926909790</v>
      </c>
      <c r="C69" s="105">
        <v>3926909790</v>
      </c>
      <c r="D69" s="106" t="s">
        <v>78</v>
      </c>
      <c r="E69" s="107" t="s">
        <v>79</v>
      </c>
      <c r="F69" s="108" t="s">
        <v>79</v>
      </c>
      <c r="G69" s="109" t="s">
        <v>80</v>
      </c>
      <c r="H69" s="110"/>
      <c r="I69" s="110"/>
      <c r="J69" s="111"/>
      <c r="K69" s="22">
        <v>2</v>
      </c>
      <c r="L69" s="15" t="s">
        <v>70</v>
      </c>
      <c r="M69" s="15">
        <v>4</v>
      </c>
      <c r="N69" s="24">
        <v>7.04845</v>
      </c>
      <c r="O69" s="15">
        <f t="shared" si="1"/>
        <v>14.0969</v>
      </c>
      <c r="P69" s="15" t="s">
        <v>71</v>
      </c>
      <c r="Q69" s="9" t="s">
        <v>72</v>
      </c>
      <c r="R69" s="9"/>
      <c r="S69" s="17" t="s">
        <v>27</v>
      </c>
      <c r="T69" s="17"/>
      <c r="U69" s="17"/>
      <c r="V69" s="17" t="s">
        <v>81</v>
      </c>
      <c r="W69" s="17"/>
      <c r="X69" s="17"/>
      <c r="Y69" s="15" t="s">
        <v>66</v>
      </c>
      <c r="Z69" s="112"/>
      <c r="AA69" s="113"/>
    </row>
    <row r="70" ht="20" customHeight="1" spans="1:27">
      <c r="A70" s="20">
        <v>58</v>
      </c>
      <c r="B70" s="104">
        <v>8302490000</v>
      </c>
      <c r="C70" s="105">
        <v>8302490000</v>
      </c>
      <c r="D70" s="106" t="s">
        <v>91</v>
      </c>
      <c r="E70" s="107" t="s">
        <v>92</v>
      </c>
      <c r="F70" s="108" t="s">
        <v>92</v>
      </c>
      <c r="G70" s="109" t="s">
        <v>93</v>
      </c>
      <c r="H70" s="110"/>
      <c r="I70" s="110"/>
      <c r="J70" s="111"/>
      <c r="K70" s="22">
        <v>5</v>
      </c>
      <c r="L70" s="15" t="s">
        <v>70</v>
      </c>
      <c r="M70" s="15">
        <f>+K70*0.5</f>
        <v>2.5</v>
      </c>
      <c r="N70" s="24">
        <v>5.14</v>
      </c>
      <c r="O70" s="15">
        <f t="shared" si="1"/>
        <v>25.7</v>
      </c>
      <c r="P70" s="15" t="s">
        <v>71</v>
      </c>
      <c r="Q70" s="9" t="s">
        <v>72</v>
      </c>
      <c r="R70" s="9"/>
      <c r="S70" s="17" t="s">
        <v>27</v>
      </c>
      <c r="T70" s="17"/>
      <c r="U70" s="17"/>
      <c r="V70" s="17" t="s">
        <v>94</v>
      </c>
      <c r="W70" s="17"/>
      <c r="X70" s="17"/>
      <c r="Y70" s="15" t="s">
        <v>66</v>
      </c>
      <c r="Z70" s="112"/>
      <c r="AA70" s="113"/>
    </row>
    <row r="71" ht="20" customHeight="1" spans="1:27">
      <c r="A71" s="20">
        <v>59</v>
      </c>
      <c r="B71" s="104">
        <v>5601229000</v>
      </c>
      <c r="C71" s="105">
        <v>5601229000</v>
      </c>
      <c r="D71" s="106" t="s">
        <v>95</v>
      </c>
      <c r="E71" s="107" t="s">
        <v>85</v>
      </c>
      <c r="F71" s="108" t="s">
        <v>85</v>
      </c>
      <c r="G71" s="109" t="s">
        <v>96</v>
      </c>
      <c r="H71" s="110"/>
      <c r="I71" s="110"/>
      <c r="J71" s="111"/>
      <c r="K71" s="22">
        <v>3</v>
      </c>
      <c r="L71" s="15" t="s">
        <v>70</v>
      </c>
      <c r="M71" s="15">
        <f>3*0.27</f>
        <v>0.81</v>
      </c>
      <c r="N71" s="24">
        <v>2.06088</v>
      </c>
      <c r="O71" s="15">
        <f t="shared" si="1"/>
        <v>6.18264</v>
      </c>
      <c r="P71" s="15" t="s">
        <v>71</v>
      </c>
      <c r="Q71" s="9" t="s">
        <v>72</v>
      </c>
      <c r="R71" s="9"/>
      <c r="S71" s="17" t="s">
        <v>27</v>
      </c>
      <c r="T71" s="17"/>
      <c r="U71" s="17"/>
      <c r="V71" s="17" t="s">
        <v>87</v>
      </c>
      <c r="W71" s="17"/>
      <c r="X71" s="17"/>
      <c r="Y71" s="15" t="s">
        <v>66</v>
      </c>
      <c r="Z71" s="112"/>
      <c r="AA71" s="113"/>
    </row>
    <row r="72" ht="20" customHeight="1" spans="1:27">
      <c r="A72" s="20">
        <v>60</v>
      </c>
      <c r="B72" s="104">
        <v>5601229000</v>
      </c>
      <c r="C72" s="105">
        <v>5601229000</v>
      </c>
      <c r="D72" s="106" t="s">
        <v>84</v>
      </c>
      <c r="E72" s="107" t="s">
        <v>85</v>
      </c>
      <c r="F72" s="108" t="s">
        <v>85</v>
      </c>
      <c r="G72" s="109" t="s">
        <v>86</v>
      </c>
      <c r="H72" s="110"/>
      <c r="I72" s="110"/>
      <c r="J72" s="111"/>
      <c r="K72" s="22">
        <v>6</v>
      </c>
      <c r="L72" s="15" t="s">
        <v>70</v>
      </c>
      <c r="M72" s="15">
        <v>6</v>
      </c>
      <c r="N72" s="24">
        <v>3.83788</v>
      </c>
      <c r="O72" s="15">
        <f t="shared" si="1"/>
        <v>23.02728</v>
      </c>
      <c r="P72" s="15" t="s">
        <v>71</v>
      </c>
      <c r="Q72" s="9" t="s">
        <v>72</v>
      </c>
      <c r="R72" s="9"/>
      <c r="S72" s="17" t="s">
        <v>27</v>
      </c>
      <c r="T72" s="17"/>
      <c r="U72" s="17"/>
      <c r="V72" s="17" t="s">
        <v>87</v>
      </c>
      <c r="W72" s="17"/>
      <c r="X72" s="17"/>
      <c r="Y72" s="15" t="s">
        <v>66</v>
      </c>
      <c r="Z72" s="112"/>
      <c r="AA72" s="113"/>
    </row>
    <row r="73" ht="20" customHeight="1" spans="1:27">
      <c r="A73" s="20">
        <v>61</v>
      </c>
      <c r="B73" s="104">
        <v>3926909790</v>
      </c>
      <c r="C73" s="105">
        <v>3926909790</v>
      </c>
      <c r="D73" s="106" t="s">
        <v>88</v>
      </c>
      <c r="E73" s="107" t="s">
        <v>79</v>
      </c>
      <c r="F73" s="108" t="s">
        <v>79</v>
      </c>
      <c r="G73" s="109" t="s">
        <v>89</v>
      </c>
      <c r="H73" s="110"/>
      <c r="I73" s="110"/>
      <c r="J73" s="111"/>
      <c r="K73" s="22">
        <v>2</v>
      </c>
      <c r="L73" s="15" t="s">
        <v>90</v>
      </c>
      <c r="M73" s="15">
        <v>1.6</v>
      </c>
      <c r="N73" s="24">
        <v>2.199</v>
      </c>
      <c r="O73" s="15">
        <f t="shared" si="1"/>
        <v>4.398</v>
      </c>
      <c r="P73" s="15" t="s">
        <v>71</v>
      </c>
      <c r="Q73" s="9" t="s">
        <v>72</v>
      </c>
      <c r="R73" s="9"/>
      <c r="S73" s="17" t="s">
        <v>27</v>
      </c>
      <c r="T73" s="17"/>
      <c r="U73" s="17"/>
      <c r="V73" s="17" t="s">
        <v>81</v>
      </c>
      <c r="W73" s="17"/>
      <c r="X73" s="17"/>
      <c r="Y73" s="15" t="s">
        <v>66</v>
      </c>
      <c r="Z73" s="112">
        <v>18.6</v>
      </c>
      <c r="AA73" s="113">
        <v>14</v>
      </c>
    </row>
    <row r="74" ht="20" customHeight="1" spans="1:27">
      <c r="A74" s="20">
        <v>62</v>
      </c>
      <c r="B74" s="104">
        <v>3926909790</v>
      </c>
      <c r="C74" s="105">
        <v>3926909790</v>
      </c>
      <c r="D74" s="106" t="s">
        <v>78</v>
      </c>
      <c r="E74" s="107" t="s">
        <v>79</v>
      </c>
      <c r="F74" s="108" t="s">
        <v>79</v>
      </c>
      <c r="G74" s="109" t="s">
        <v>80</v>
      </c>
      <c r="H74" s="110"/>
      <c r="I74" s="110"/>
      <c r="J74" s="111"/>
      <c r="K74" s="22">
        <v>2</v>
      </c>
      <c r="L74" s="15" t="s">
        <v>70</v>
      </c>
      <c r="M74" s="15">
        <v>4</v>
      </c>
      <c r="N74" s="24">
        <v>7.04845</v>
      </c>
      <c r="O74" s="15">
        <f t="shared" si="1"/>
        <v>14.0969</v>
      </c>
      <c r="P74" s="15" t="s">
        <v>71</v>
      </c>
      <c r="Q74" s="9" t="s">
        <v>72</v>
      </c>
      <c r="R74" s="9"/>
      <c r="S74" s="17" t="s">
        <v>27</v>
      </c>
      <c r="T74" s="17"/>
      <c r="U74" s="17"/>
      <c r="V74" s="17" t="s">
        <v>81</v>
      </c>
      <c r="W74" s="17"/>
      <c r="X74" s="17"/>
      <c r="Y74" s="15" t="s">
        <v>66</v>
      </c>
      <c r="Z74" s="112"/>
      <c r="AA74" s="113"/>
    </row>
    <row r="75" ht="20" customHeight="1" spans="1:27">
      <c r="A75" s="20">
        <v>63</v>
      </c>
      <c r="B75" s="104">
        <v>3926909790</v>
      </c>
      <c r="C75" s="105">
        <v>3926909790</v>
      </c>
      <c r="D75" s="106" t="s">
        <v>82</v>
      </c>
      <c r="E75" s="107" t="s">
        <v>79</v>
      </c>
      <c r="F75" s="108" t="s">
        <v>79</v>
      </c>
      <c r="G75" s="109" t="s">
        <v>83</v>
      </c>
      <c r="H75" s="110"/>
      <c r="I75" s="110"/>
      <c r="J75" s="111"/>
      <c r="K75" s="22">
        <v>1</v>
      </c>
      <c r="L75" s="15" t="s">
        <v>70</v>
      </c>
      <c r="M75" s="15">
        <v>1</v>
      </c>
      <c r="N75" s="24">
        <v>3.525</v>
      </c>
      <c r="O75" s="15">
        <f t="shared" si="1"/>
        <v>3.525</v>
      </c>
      <c r="P75" s="15" t="s">
        <v>71</v>
      </c>
      <c r="Q75" s="9" t="s">
        <v>72</v>
      </c>
      <c r="R75" s="9"/>
      <c r="S75" s="17" t="s">
        <v>27</v>
      </c>
      <c r="T75" s="17"/>
      <c r="U75" s="17"/>
      <c r="V75" s="17" t="s">
        <v>81</v>
      </c>
      <c r="W75" s="17"/>
      <c r="X75" s="17"/>
      <c r="Y75" s="15" t="s">
        <v>66</v>
      </c>
      <c r="Z75" s="112"/>
      <c r="AA75" s="113"/>
    </row>
    <row r="76" ht="20" customHeight="1" spans="1:27">
      <c r="A76" s="20">
        <v>64</v>
      </c>
      <c r="B76" s="104">
        <v>8302490000</v>
      </c>
      <c r="C76" s="105">
        <v>8302490000</v>
      </c>
      <c r="D76" s="106" t="s">
        <v>91</v>
      </c>
      <c r="E76" s="107" t="s">
        <v>92</v>
      </c>
      <c r="F76" s="108" t="s">
        <v>92</v>
      </c>
      <c r="G76" s="109" t="s">
        <v>93</v>
      </c>
      <c r="H76" s="110"/>
      <c r="I76" s="110"/>
      <c r="J76" s="111"/>
      <c r="K76" s="22">
        <v>5</v>
      </c>
      <c r="L76" s="15" t="s">
        <v>70</v>
      </c>
      <c r="M76" s="15">
        <f>+K76*0.5</f>
        <v>2.5</v>
      </c>
      <c r="N76" s="24">
        <v>5.14</v>
      </c>
      <c r="O76" s="15">
        <f t="shared" si="1"/>
        <v>25.7</v>
      </c>
      <c r="P76" s="15" t="s">
        <v>71</v>
      </c>
      <c r="Q76" s="9" t="s">
        <v>72</v>
      </c>
      <c r="R76" s="9"/>
      <c r="S76" s="17" t="s">
        <v>27</v>
      </c>
      <c r="T76" s="17"/>
      <c r="U76" s="17"/>
      <c r="V76" s="17" t="s">
        <v>94</v>
      </c>
      <c r="W76" s="17"/>
      <c r="X76" s="17"/>
      <c r="Y76" s="15" t="s">
        <v>66</v>
      </c>
      <c r="Z76" s="112"/>
      <c r="AA76" s="113"/>
    </row>
    <row r="77" ht="20" customHeight="1" spans="1:27">
      <c r="A77" s="20">
        <v>65</v>
      </c>
      <c r="B77" s="104">
        <v>5601229000</v>
      </c>
      <c r="C77" s="105">
        <v>5601229000</v>
      </c>
      <c r="D77" s="106" t="s">
        <v>95</v>
      </c>
      <c r="E77" s="107" t="s">
        <v>85</v>
      </c>
      <c r="F77" s="108" t="s">
        <v>85</v>
      </c>
      <c r="G77" s="109" t="s">
        <v>96</v>
      </c>
      <c r="H77" s="110"/>
      <c r="I77" s="110"/>
      <c r="J77" s="111"/>
      <c r="K77" s="22">
        <v>3</v>
      </c>
      <c r="L77" s="15" t="s">
        <v>70</v>
      </c>
      <c r="M77" s="15">
        <f>3*0.27</f>
        <v>0.81</v>
      </c>
      <c r="N77" s="24">
        <v>2.06088</v>
      </c>
      <c r="O77" s="15">
        <f t="shared" si="1"/>
        <v>6.18264</v>
      </c>
      <c r="P77" s="15" t="s">
        <v>71</v>
      </c>
      <c r="Q77" s="9" t="s">
        <v>72</v>
      </c>
      <c r="R77" s="9"/>
      <c r="S77" s="17" t="s">
        <v>27</v>
      </c>
      <c r="T77" s="17"/>
      <c r="U77" s="17"/>
      <c r="V77" s="17" t="s">
        <v>87</v>
      </c>
      <c r="W77" s="17"/>
      <c r="X77" s="17"/>
      <c r="Y77" s="15" t="s">
        <v>66</v>
      </c>
      <c r="Z77" s="112"/>
      <c r="AA77" s="113"/>
    </row>
    <row r="78" ht="20" customHeight="1" spans="1:27">
      <c r="A78" s="20">
        <v>66</v>
      </c>
      <c r="B78" s="104">
        <v>5601229000</v>
      </c>
      <c r="C78" s="105">
        <v>5601229000</v>
      </c>
      <c r="D78" s="106" t="s">
        <v>84</v>
      </c>
      <c r="E78" s="107" t="s">
        <v>85</v>
      </c>
      <c r="F78" s="108" t="s">
        <v>85</v>
      </c>
      <c r="G78" s="109" t="s">
        <v>86</v>
      </c>
      <c r="H78" s="110"/>
      <c r="I78" s="110"/>
      <c r="J78" s="111"/>
      <c r="K78" s="22">
        <v>6</v>
      </c>
      <c r="L78" s="15" t="s">
        <v>70</v>
      </c>
      <c r="M78" s="15">
        <v>6</v>
      </c>
      <c r="N78" s="24">
        <v>3.83788</v>
      </c>
      <c r="O78" s="15">
        <f t="shared" si="1"/>
        <v>23.02728</v>
      </c>
      <c r="P78" s="15" t="s">
        <v>71</v>
      </c>
      <c r="Q78" s="9" t="s">
        <v>72</v>
      </c>
      <c r="R78" s="9"/>
      <c r="S78" s="17" t="s">
        <v>27</v>
      </c>
      <c r="T78" s="17"/>
      <c r="U78" s="17"/>
      <c r="V78" s="17" t="s">
        <v>87</v>
      </c>
      <c r="W78" s="17"/>
      <c r="X78" s="17"/>
      <c r="Y78" s="15" t="s">
        <v>66</v>
      </c>
      <c r="Z78" s="112"/>
      <c r="AA78" s="113"/>
    </row>
    <row r="79" ht="20" customHeight="1" spans="1:27">
      <c r="A79" s="20">
        <v>67</v>
      </c>
      <c r="B79" s="104">
        <v>3926909790</v>
      </c>
      <c r="C79" s="105">
        <v>3926909790</v>
      </c>
      <c r="D79" s="106" t="s">
        <v>88</v>
      </c>
      <c r="E79" s="107" t="s">
        <v>79</v>
      </c>
      <c r="F79" s="108" t="s">
        <v>79</v>
      </c>
      <c r="G79" s="109" t="s">
        <v>89</v>
      </c>
      <c r="H79" s="110"/>
      <c r="I79" s="110"/>
      <c r="J79" s="111"/>
      <c r="K79" s="22">
        <v>2</v>
      </c>
      <c r="L79" s="15" t="s">
        <v>90</v>
      </c>
      <c r="M79" s="15">
        <v>1.6</v>
      </c>
      <c r="N79" s="24">
        <v>2.199</v>
      </c>
      <c r="O79" s="15">
        <f t="shared" si="1"/>
        <v>4.398</v>
      </c>
      <c r="P79" s="15" t="s">
        <v>71</v>
      </c>
      <c r="Q79" s="9" t="s">
        <v>72</v>
      </c>
      <c r="R79" s="9"/>
      <c r="S79" s="17" t="s">
        <v>27</v>
      </c>
      <c r="T79" s="17"/>
      <c r="U79" s="17"/>
      <c r="V79" s="17" t="s">
        <v>81</v>
      </c>
      <c r="W79" s="17"/>
      <c r="X79" s="17"/>
      <c r="Y79" s="15" t="s">
        <v>66</v>
      </c>
      <c r="Z79" s="112">
        <v>18.3</v>
      </c>
      <c r="AA79" s="113">
        <v>15</v>
      </c>
    </row>
    <row r="80" ht="20" customHeight="1" spans="1:27">
      <c r="A80" s="20">
        <v>68</v>
      </c>
      <c r="B80" s="104">
        <v>3926909790</v>
      </c>
      <c r="C80" s="105">
        <v>3926909790</v>
      </c>
      <c r="D80" s="106" t="s">
        <v>82</v>
      </c>
      <c r="E80" s="107" t="s">
        <v>79</v>
      </c>
      <c r="F80" s="108" t="s">
        <v>79</v>
      </c>
      <c r="G80" s="109" t="s">
        <v>83</v>
      </c>
      <c r="H80" s="110"/>
      <c r="I80" s="110"/>
      <c r="J80" s="111"/>
      <c r="K80" s="22">
        <v>5</v>
      </c>
      <c r="L80" s="15" t="s">
        <v>70</v>
      </c>
      <c r="M80" s="15">
        <v>5</v>
      </c>
      <c r="N80" s="24">
        <v>1.41</v>
      </c>
      <c r="O80" s="15">
        <f t="shared" si="1"/>
        <v>7.05</v>
      </c>
      <c r="P80" s="15" t="s">
        <v>71</v>
      </c>
      <c r="Q80" s="9" t="s">
        <v>72</v>
      </c>
      <c r="R80" s="9"/>
      <c r="S80" s="17" t="s">
        <v>27</v>
      </c>
      <c r="T80" s="17"/>
      <c r="U80" s="17"/>
      <c r="V80" s="17" t="s">
        <v>81</v>
      </c>
      <c r="W80" s="17"/>
      <c r="X80" s="17"/>
      <c r="Y80" s="15" t="s">
        <v>66</v>
      </c>
      <c r="Z80" s="112"/>
      <c r="AA80" s="113"/>
    </row>
    <row r="81" ht="20" customHeight="1" spans="1:27">
      <c r="A81" s="20">
        <v>69</v>
      </c>
      <c r="B81" s="104">
        <v>8302490000</v>
      </c>
      <c r="C81" s="105">
        <v>8302490000</v>
      </c>
      <c r="D81" s="106" t="s">
        <v>91</v>
      </c>
      <c r="E81" s="107" t="s">
        <v>92</v>
      </c>
      <c r="F81" s="108" t="s">
        <v>92</v>
      </c>
      <c r="G81" s="109" t="s">
        <v>93</v>
      </c>
      <c r="H81" s="110"/>
      <c r="I81" s="110"/>
      <c r="J81" s="111"/>
      <c r="K81" s="22">
        <v>5</v>
      </c>
      <c r="L81" s="15" t="s">
        <v>70</v>
      </c>
      <c r="M81" s="15">
        <f>+K81*0.5</f>
        <v>2.5</v>
      </c>
      <c r="N81" s="24">
        <v>5.14</v>
      </c>
      <c r="O81" s="15">
        <f t="shared" si="1"/>
        <v>25.7</v>
      </c>
      <c r="P81" s="15" t="s">
        <v>71</v>
      </c>
      <c r="Q81" s="9" t="s">
        <v>72</v>
      </c>
      <c r="R81" s="9"/>
      <c r="S81" s="17" t="s">
        <v>27</v>
      </c>
      <c r="T81" s="17"/>
      <c r="U81" s="17"/>
      <c r="V81" s="17" t="s">
        <v>94</v>
      </c>
      <c r="W81" s="17"/>
      <c r="X81" s="17"/>
      <c r="Y81" s="15" t="s">
        <v>66</v>
      </c>
      <c r="Z81" s="112"/>
      <c r="AA81" s="113"/>
    </row>
    <row r="82" ht="20" customHeight="1" spans="1:27">
      <c r="A82" s="20">
        <v>70</v>
      </c>
      <c r="B82" s="104">
        <v>5601229000</v>
      </c>
      <c r="C82" s="105">
        <v>5601229000</v>
      </c>
      <c r="D82" s="106" t="s">
        <v>95</v>
      </c>
      <c r="E82" s="107" t="s">
        <v>85</v>
      </c>
      <c r="F82" s="108" t="s">
        <v>85</v>
      </c>
      <c r="G82" s="109" t="s">
        <v>96</v>
      </c>
      <c r="H82" s="110"/>
      <c r="I82" s="110"/>
      <c r="J82" s="111"/>
      <c r="K82" s="22">
        <v>3</v>
      </c>
      <c r="L82" s="15" t="s">
        <v>70</v>
      </c>
      <c r="M82" s="15">
        <f>3*0.27</f>
        <v>0.81</v>
      </c>
      <c r="N82" s="24">
        <v>2.06088</v>
      </c>
      <c r="O82" s="15">
        <f t="shared" si="1"/>
        <v>6.18264</v>
      </c>
      <c r="P82" s="15" t="s">
        <v>71</v>
      </c>
      <c r="Q82" s="9" t="s">
        <v>72</v>
      </c>
      <c r="R82" s="9"/>
      <c r="S82" s="17" t="s">
        <v>27</v>
      </c>
      <c r="T82" s="17"/>
      <c r="U82" s="17"/>
      <c r="V82" s="17" t="s">
        <v>87</v>
      </c>
      <c r="W82" s="17"/>
      <c r="X82" s="17"/>
      <c r="Y82" s="15" t="s">
        <v>66</v>
      </c>
      <c r="Z82" s="112"/>
      <c r="AA82" s="113"/>
    </row>
    <row r="83" ht="20" customHeight="1" spans="1:27">
      <c r="A83" s="20">
        <v>71</v>
      </c>
      <c r="B83" s="104">
        <v>5601229000</v>
      </c>
      <c r="C83" s="105">
        <v>5601229000</v>
      </c>
      <c r="D83" s="106" t="s">
        <v>84</v>
      </c>
      <c r="E83" s="107" t="s">
        <v>85</v>
      </c>
      <c r="F83" s="108" t="s">
        <v>85</v>
      </c>
      <c r="G83" s="109" t="s">
        <v>86</v>
      </c>
      <c r="H83" s="110"/>
      <c r="I83" s="110"/>
      <c r="J83" s="111"/>
      <c r="K83" s="22">
        <v>6</v>
      </c>
      <c r="L83" s="15" t="s">
        <v>70</v>
      </c>
      <c r="M83" s="15">
        <v>6</v>
      </c>
      <c r="N83" s="24">
        <v>3.83788</v>
      </c>
      <c r="O83" s="15">
        <f>K83*N83</f>
        <v>23.02728</v>
      </c>
      <c r="P83" s="15" t="s">
        <v>71</v>
      </c>
      <c r="Q83" s="9" t="s">
        <v>72</v>
      </c>
      <c r="R83" s="9"/>
      <c r="S83" s="17" t="s">
        <v>27</v>
      </c>
      <c r="T83" s="17"/>
      <c r="U83" s="17"/>
      <c r="V83" s="17" t="s">
        <v>87</v>
      </c>
      <c r="W83" s="17"/>
      <c r="X83" s="17"/>
      <c r="Y83" s="15" t="s">
        <v>66</v>
      </c>
      <c r="Z83" s="112"/>
      <c r="AA83" s="113"/>
    </row>
    <row r="84" ht="20" customHeight="1" spans="1:27">
      <c r="A84" s="20"/>
      <c r="B84" s="116"/>
      <c r="C84" s="117"/>
      <c r="D84" s="6"/>
      <c r="E84" s="107"/>
      <c r="F84" s="108"/>
      <c r="G84" s="22"/>
      <c r="H84" s="22"/>
      <c r="I84" s="22"/>
      <c r="J84" s="22"/>
      <c r="K84" s="22">
        <f>SUM(K13:K83)</f>
        <v>226</v>
      </c>
      <c r="L84" s="15"/>
      <c r="M84" s="37">
        <f>SUM(M13:M83)</f>
        <v>224.815</v>
      </c>
      <c r="N84" s="24" t="s">
        <v>97</v>
      </c>
      <c r="O84" s="37">
        <f>SUM(O13:O83)</f>
        <v>1062.16785</v>
      </c>
      <c r="P84" s="15" t="s">
        <v>71</v>
      </c>
      <c r="Q84" s="9"/>
      <c r="R84" s="9"/>
      <c r="S84" s="17"/>
      <c r="T84" s="17"/>
      <c r="U84" s="17"/>
      <c r="V84" s="17"/>
      <c r="W84" s="17"/>
      <c r="X84" s="17"/>
      <c r="Y84" s="15"/>
      <c r="Z84" s="25">
        <f>SUM(Z13:Z83)</f>
        <v>267</v>
      </c>
      <c r="AA84" s="25">
        <v>15</v>
      </c>
    </row>
    <row r="85" ht="14.25" spans="1:27">
      <c r="B85" s="118"/>
      <c r="C85" s="118"/>
    </row>
    <row r="86" ht="14.25" spans="1:27">
      <c r="B86" s="118"/>
      <c r="C86" s="118"/>
    </row>
    <row r="87" ht="14.25" spans="1:27">
      <c r="B87" s="118"/>
      <c r="C87" s="118"/>
    </row>
  </sheetData>
  <protectedRanges>
    <protectedRange sqref="C6:Q6" name="区域1"/>
  </protectedRanges>
  <autoFilter xmlns:etc="http://www.wps.cn/officeDocument/2017/etCustomData" ref="A12:AA84" etc:filterBottomFollowUsedRange="0">
    <extLst/>
  </autoFilter>
  <mergeCells count="524">
    <mergeCell ref="A1:Y1"/>
    <mergeCell ref="A2:B2"/>
    <mergeCell ref="C2:I2"/>
    <mergeCell ref="K2:M2"/>
    <mergeCell ref="O2:Y2"/>
    <mergeCell ref="A3:B3"/>
    <mergeCell ref="C3:G3"/>
    <mergeCell ref="H3:I3"/>
    <mergeCell ref="K3:M3"/>
    <mergeCell ref="N3:P3"/>
    <mergeCell ref="R3:T3"/>
    <mergeCell ref="U3:Y3"/>
    <mergeCell ref="A4:B4"/>
    <mergeCell ref="C4:G4"/>
    <mergeCell ref="H4:I4"/>
    <mergeCell ref="K4:M4"/>
    <mergeCell ref="N4:P4"/>
    <mergeCell ref="Q4:T4"/>
    <mergeCell ref="U4:Y4"/>
    <mergeCell ref="A5:B5"/>
    <mergeCell ref="C5:G5"/>
    <mergeCell ref="H5:I5"/>
    <mergeCell ref="K5:M5"/>
    <mergeCell ref="N5:P5"/>
    <mergeCell ref="Q5:T5"/>
    <mergeCell ref="U5:Y5"/>
    <mergeCell ref="A6:B6"/>
    <mergeCell ref="C6:G6"/>
    <mergeCell ref="H6:I6"/>
    <mergeCell ref="K6:M6"/>
    <mergeCell ref="N6:P6"/>
    <mergeCell ref="Q6:R6"/>
    <mergeCell ref="S6:T6"/>
    <mergeCell ref="U6:W6"/>
    <mergeCell ref="X6:Y6"/>
    <mergeCell ref="A7:B7"/>
    <mergeCell ref="C7:E7"/>
    <mergeCell ref="G7:H7"/>
    <mergeCell ref="L7:M7"/>
    <mergeCell ref="O7:P7"/>
    <mergeCell ref="S7:T7"/>
    <mergeCell ref="U7:V7"/>
    <mergeCell ref="W7:X7"/>
    <mergeCell ref="A8:D8"/>
    <mergeCell ref="E8:Y8"/>
    <mergeCell ref="A9:D9"/>
    <mergeCell ref="E9:Y9"/>
    <mergeCell ref="A10:D10"/>
    <mergeCell ref="E10:Y10"/>
    <mergeCell ref="A11:C11"/>
    <mergeCell ref="E11:G11"/>
    <mergeCell ref="H11:I11"/>
    <mergeCell ref="J11:K11"/>
    <mergeCell ref="L11:M11"/>
    <mergeCell ref="O11:P11"/>
    <mergeCell ref="R11:Y11"/>
    <mergeCell ref="B12:C12"/>
    <mergeCell ref="E12:F12"/>
    <mergeCell ref="G12:J12"/>
    <mergeCell ref="Q12:R12"/>
    <mergeCell ref="S12:U12"/>
    <mergeCell ref="V12:X12"/>
    <mergeCell ref="B13:C13"/>
    <mergeCell ref="E13:F13"/>
    <mergeCell ref="G13:J13"/>
    <mergeCell ref="Q13:R13"/>
    <mergeCell ref="S13:U13"/>
    <mergeCell ref="V13:X13"/>
    <mergeCell ref="B14:C14"/>
    <mergeCell ref="E14:F14"/>
    <mergeCell ref="G14:J14"/>
    <mergeCell ref="Q14:R14"/>
    <mergeCell ref="S14:U14"/>
    <mergeCell ref="V14:X14"/>
    <mergeCell ref="B15:C15"/>
    <mergeCell ref="E15:F15"/>
    <mergeCell ref="G15:J15"/>
    <mergeCell ref="Q15:R15"/>
    <mergeCell ref="S15:U15"/>
    <mergeCell ref="V15:X15"/>
    <mergeCell ref="B16:C16"/>
    <mergeCell ref="E16:F16"/>
    <mergeCell ref="G16:J16"/>
    <mergeCell ref="Q16:R16"/>
    <mergeCell ref="S16:U16"/>
    <mergeCell ref="V16:X16"/>
    <mergeCell ref="B17:C17"/>
    <mergeCell ref="E17:F17"/>
    <mergeCell ref="G17:J17"/>
    <mergeCell ref="Q17:R17"/>
    <mergeCell ref="S17:U17"/>
    <mergeCell ref="V17:X17"/>
    <mergeCell ref="B18:C18"/>
    <mergeCell ref="E18:F18"/>
    <mergeCell ref="G18:J18"/>
    <mergeCell ref="Q18:R18"/>
    <mergeCell ref="S18:U18"/>
    <mergeCell ref="V18:X18"/>
    <mergeCell ref="B19:C19"/>
    <mergeCell ref="E19:F19"/>
    <mergeCell ref="G19:J19"/>
    <mergeCell ref="Q19:R19"/>
    <mergeCell ref="S19:U19"/>
    <mergeCell ref="V19:X19"/>
    <mergeCell ref="B20:C20"/>
    <mergeCell ref="E20:F20"/>
    <mergeCell ref="G20:J20"/>
    <mergeCell ref="Q20:R20"/>
    <mergeCell ref="S20:U20"/>
    <mergeCell ref="V20:X20"/>
    <mergeCell ref="B21:C21"/>
    <mergeCell ref="E21:F21"/>
    <mergeCell ref="G21:J21"/>
    <mergeCell ref="Q21:R21"/>
    <mergeCell ref="S21:U21"/>
    <mergeCell ref="V21:X21"/>
    <mergeCell ref="B22:C22"/>
    <mergeCell ref="E22:F22"/>
    <mergeCell ref="G22:J22"/>
    <mergeCell ref="Q22:R22"/>
    <mergeCell ref="S22:U22"/>
    <mergeCell ref="V22:X22"/>
    <mergeCell ref="B23:C23"/>
    <mergeCell ref="E23:F23"/>
    <mergeCell ref="G23:J23"/>
    <mergeCell ref="Q23:R23"/>
    <mergeCell ref="S23:U23"/>
    <mergeCell ref="V23:X23"/>
    <mergeCell ref="B24:C24"/>
    <mergeCell ref="E24:F24"/>
    <mergeCell ref="G24:J24"/>
    <mergeCell ref="Q24:R24"/>
    <mergeCell ref="S24:U24"/>
    <mergeCell ref="V24:X24"/>
    <mergeCell ref="B25:C25"/>
    <mergeCell ref="E25:F25"/>
    <mergeCell ref="G25:J25"/>
    <mergeCell ref="Q25:R25"/>
    <mergeCell ref="S25:U25"/>
    <mergeCell ref="V25:X25"/>
    <mergeCell ref="B26:C26"/>
    <mergeCell ref="E26:F26"/>
    <mergeCell ref="G26:J26"/>
    <mergeCell ref="Q26:R26"/>
    <mergeCell ref="S26:U26"/>
    <mergeCell ref="V26:X26"/>
    <mergeCell ref="B27:C27"/>
    <mergeCell ref="E27:F27"/>
    <mergeCell ref="G27:J27"/>
    <mergeCell ref="Q27:R27"/>
    <mergeCell ref="S27:U27"/>
    <mergeCell ref="V27:X27"/>
    <mergeCell ref="B28:C28"/>
    <mergeCell ref="E28:F28"/>
    <mergeCell ref="G28:J28"/>
    <mergeCell ref="Q28:R28"/>
    <mergeCell ref="S28:U28"/>
    <mergeCell ref="V28:X28"/>
    <mergeCell ref="B29:C29"/>
    <mergeCell ref="E29:F29"/>
    <mergeCell ref="G29:J29"/>
    <mergeCell ref="Q29:R29"/>
    <mergeCell ref="S29:U29"/>
    <mergeCell ref="V29:X29"/>
    <mergeCell ref="B30:C30"/>
    <mergeCell ref="E30:F30"/>
    <mergeCell ref="G30:J30"/>
    <mergeCell ref="Q30:R30"/>
    <mergeCell ref="S30:U30"/>
    <mergeCell ref="V30:X30"/>
    <mergeCell ref="B31:C31"/>
    <mergeCell ref="E31:F31"/>
    <mergeCell ref="G31:J31"/>
    <mergeCell ref="Q31:R31"/>
    <mergeCell ref="S31:U31"/>
    <mergeCell ref="V31:X31"/>
    <mergeCell ref="B32:C32"/>
    <mergeCell ref="E32:F32"/>
    <mergeCell ref="G32:J32"/>
    <mergeCell ref="Q32:R32"/>
    <mergeCell ref="S32:U32"/>
    <mergeCell ref="V32:X32"/>
    <mergeCell ref="B33:C33"/>
    <mergeCell ref="E33:F33"/>
    <mergeCell ref="G33:J33"/>
    <mergeCell ref="Q33:R33"/>
    <mergeCell ref="S33:U33"/>
    <mergeCell ref="V33:X33"/>
    <mergeCell ref="B34:C34"/>
    <mergeCell ref="E34:F34"/>
    <mergeCell ref="G34:J34"/>
    <mergeCell ref="Q34:R34"/>
    <mergeCell ref="S34:U34"/>
    <mergeCell ref="V34:X34"/>
    <mergeCell ref="B35:C35"/>
    <mergeCell ref="E35:F35"/>
    <mergeCell ref="G35:J35"/>
    <mergeCell ref="Q35:R35"/>
    <mergeCell ref="S35:U35"/>
    <mergeCell ref="V35:X35"/>
    <mergeCell ref="B36:C36"/>
    <mergeCell ref="E36:F36"/>
    <mergeCell ref="G36:J36"/>
    <mergeCell ref="Q36:R36"/>
    <mergeCell ref="S36:U36"/>
    <mergeCell ref="V36:X36"/>
    <mergeCell ref="B37:C37"/>
    <mergeCell ref="E37:F37"/>
    <mergeCell ref="G37:J37"/>
    <mergeCell ref="Q37:R37"/>
    <mergeCell ref="S37:U37"/>
    <mergeCell ref="V37:X37"/>
    <mergeCell ref="B38:C38"/>
    <mergeCell ref="E38:F38"/>
    <mergeCell ref="G38:J38"/>
    <mergeCell ref="Q38:R38"/>
    <mergeCell ref="S38:U38"/>
    <mergeCell ref="V38:X38"/>
    <mergeCell ref="B39:C39"/>
    <mergeCell ref="E39:F39"/>
    <mergeCell ref="G39:J39"/>
    <mergeCell ref="Q39:R39"/>
    <mergeCell ref="S39:U39"/>
    <mergeCell ref="V39:X39"/>
    <mergeCell ref="B40:C40"/>
    <mergeCell ref="E40:F40"/>
    <mergeCell ref="G40:J40"/>
    <mergeCell ref="Q40:R40"/>
    <mergeCell ref="S40:U40"/>
    <mergeCell ref="V40:X40"/>
    <mergeCell ref="B41:C41"/>
    <mergeCell ref="E41:F41"/>
    <mergeCell ref="G41:J41"/>
    <mergeCell ref="Q41:R41"/>
    <mergeCell ref="S41:U41"/>
    <mergeCell ref="V41:X41"/>
    <mergeCell ref="B42:C42"/>
    <mergeCell ref="E42:F42"/>
    <mergeCell ref="G42:J42"/>
    <mergeCell ref="Q42:R42"/>
    <mergeCell ref="S42:U42"/>
    <mergeCell ref="V42:X42"/>
    <mergeCell ref="B43:C43"/>
    <mergeCell ref="E43:F43"/>
    <mergeCell ref="G43:J43"/>
    <mergeCell ref="Q43:R43"/>
    <mergeCell ref="S43:U43"/>
    <mergeCell ref="V43:X43"/>
    <mergeCell ref="B44:C44"/>
    <mergeCell ref="E44:F44"/>
    <mergeCell ref="G44:J44"/>
    <mergeCell ref="Q44:R44"/>
    <mergeCell ref="S44:U44"/>
    <mergeCell ref="V44:X44"/>
    <mergeCell ref="B45:C45"/>
    <mergeCell ref="E45:F45"/>
    <mergeCell ref="G45:J45"/>
    <mergeCell ref="Q45:R45"/>
    <mergeCell ref="S45:U45"/>
    <mergeCell ref="V45:X45"/>
    <mergeCell ref="B46:C46"/>
    <mergeCell ref="E46:F46"/>
    <mergeCell ref="G46:J46"/>
    <mergeCell ref="Q46:R46"/>
    <mergeCell ref="S46:U46"/>
    <mergeCell ref="V46:X46"/>
    <mergeCell ref="B47:C47"/>
    <mergeCell ref="E47:F47"/>
    <mergeCell ref="G47:J47"/>
    <mergeCell ref="Q47:R47"/>
    <mergeCell ref="S47:U47"/>
    <mergeCell ref="V47:X47"/>
    <mergeCell ref="B48:C48"/>
    <mergeCell ref="E48:F48"/>
    <mergeCell ref="G48:J48"/>
    <mergeCell ref="Q48:R48"/>
    <mergeCell ref="S48:U48"/>
    <mergeCell ref="V48:X48"/>
    <mergeCell ref="B49:C49"/>
    <mergeCell ref="E49:F49"/>
    <mergeCell ref="G49:J49"/>
    <mergeCell ref="Q49:R49"/>
    <mergeCell ref="S49:U49"/>
    <mergeCell ref="V49:X49"/>
    <mergeCell ref="B50:C50"/>
    <mergeCell ref="E50:F50"/>
    <mergeCell ref="G50:J50"/>
    <mergeCell ref="Q50:R50"/>
    <mergeCell ref="S50:U50"/>
    <mergeCell ref="V50:X50"/>
    <mergeCell ref="B51:C51"/>
    <mergeCell ref="E51:F51"/>
    <mergeCell ref="G51:J51"/>
    <mergeCell ref="Q51:R51"/>
    <mergeCell ref="S51:U51"/>
    <mergeCell ref="V51:X51"/>
    <mergeCell ref="B52:C52"/>
    <mergeCell ref="E52:F52"/>
    <mergeCell ref="G52:J52"/>
    <mergeCell ref="Q52:R52"/>
    <mergeCell ref="S52:U52"/>
    <mergeCell ref="V52:X52"/>
    <mergeCell ref="B53:C53"/>
    <mergeCell ref="E53:F53"/>
    <mergeCell ref="G53:J53"/>
    <mergeCell ref="Q53:R53"/>
    <mergeCell ref="S53:U53"/>
    <mergeCell ref="V53:X53"/>
    <mergeCell ref="B54:C54"/>
    <mergeCell ref="E54:F54"/>
    <mergeCell ref="G54:J54"/>
    <mergeCell ref="Q54:R54"/>
    <mergeCell ref="S54:U54"/>
    <mergeCell ref="V54:X54"/>
    <mergeCell ref="B55:C55"/>
    <mergeCell ref="E55:F55"/>
    <mergeCell ref="G55:J55"/>
    <mergeCell ref="Q55:R55"/>
    <mergeCell ref="S55:U55"/>
    <mergeCell ref="V55:X55"/>
    <mergeCell ref="B56:C56"/>
    <mergeCell ref="E56:F56"/>
    <mergeCell ref="G56:J56"/>
    <mergeCell ref="Q56:R56"/>
    <mergeCell ref="S56:U56"/>
    <mergeCell ref="V56:X56"/>
    <mergeCell ref="B57:C57"/>
    <mergeCell ref="E57:F57"/>
    <mergeCell ref="G57:J57"/>
    <mergeCell ref="Q57:R57"/>
    <mergeCell ref="S57:U57"/>
    <mergeCell ref="V57:X57"/>
    <mergeCell ref="B58:C58"/>
    <mergeCell ref="E58:F58"/>
    <mergeCell ref="G58:J58"/>
    <mergeCell ref="Q58:R58"/>
    <mergeCell ref="S58:U58"/>
    <mergeCell ref="V58:X58"/>
    <mergeCell ref="B59:C59"/>
    <mergeCell ref="E59:F59"/>
    <mergeCell ref="G59:J59"/>
    <mergeCell ref="Q59:R59"/>
    <mergeCell ref="S59:U59"/>
    <mergeCell ref="V59:X59"/>
    <mergeCell ref="B60:C60"/>
    <mergeCell ref="E60:F60"/>
    <mergeCell ref="G60:J60"/>
    <mergeCell ref="Q60:R60"/>
    <mergeCell ref="S60:U60"/>
    <mergeCell ref="V60:X60"/>
    <mergeCell ref="B61:C61"/>
    <mergeCell ref="E61:F61"/>
    <mergeCell ref="G61:J61"/>
    <mergeCell ref="Q61:R61"/>
    <mergeCell ref="S61:U61"/>
    <mergeCell ref="V61:X61"/>
    <mergeCell ref="B62:C62"/>
    <mergeCell ref="E62:F62"/>
    <mergeCell ref="G62:J62"/>
    <mergeCell ref="Q62:R62"/>
    <mergeCell ref="S62:U62"/>
    <mergeCell ref="V62:X62"/>
    <mergeCell ref="B63:C63"/>
    <mergeCell ref="E63:F63"/>
    <mergeCell ref="G63:J63"/>
    <mergeCell ref="Q63:R63"/>
    <mergeCell ref="S63:U63"/>
    <mergeCell ref="V63:X63"/>
    <mergeCell ref="B64:C64"/>
    <mergeCell ref="E64:F64"/>
    <mergeCell ref="G64:J64"/>
    <mergeCell ref="Q64:R64"/>
    <mergeCell ref="S64:U64"/>
    <mergeCell ref="V64:X64"/>
    <mergeCell ref="B65:C65"/>
    <mergeCell ref="E65:F65"/>
    <mergeCell ref="G65:J65"/>
    <mergeCell ref="Q65:R65"/>
    <mergeCell ref="S65:U65"/>
    <mergeCell ref="V65:X65"/>
    <mergeCell ref="B66:C66"/>
    <mergeCell ref="E66:F66"/>
    <mergeCell ref="G66:J66"/>
    <mergeCell ref="Q66:R66"/>
    <mergeCell ref="S66:U66"/>
    <mergeCell ref="V66:X66"/>
    <mergeCell ref="B67:C67"/>
    <mergeCell ref="E67:F67"/>
    <mergeCell ref="G67:J67"/>
    <mergeCell ref="Q67:R67"/>
    <mergeCell ref="S67:U67"/>
    <mergeCell ref="V67:X67"/>
    <mergeCell ref="B68:C68"/>
    <mergeCell ref="E68:F68"/>
    <mergeCell ref="G68:J68"/>
    <mergeCell ref="Q68:R68"/>
    <mergeCell ref="S68:U68"/>
    <mergeCell ref="V68:X68"/>
    <mergeCell ref="B69:C69"/>
    <mergeCell ref="E69:F69"/>
    <mergeCell ref="G69:J69"/>
    <mergeCell ref="Q69:R69"/>
    <mergeCell ref="S69:U69"/>
    <mergeCell ref="V69:X69"/>
    <mergeCell ref="B70:C70"/>
    <mergeCell ref="E70:F70"/>
    <mergeCell ref="G70:J70"/>
    <mergeCell ref="Q70:R70"/>
    <mergeCell ref="S70:U70"/>
    <mergeCell ref="V70:X70"/>
    <mergeCell ref="B71:C71"/>
    <mergeCell ref="E71:F71"/>
    <mergeCell ref="G71:J71"/>
    <mergeCell ref="Q71:R71"/>
    <mergeCell ref="S71:U71"/>
    <mergeCell ref="V71:X71"/>
    <mergeCell ref="B72:C72"/>
    <mergeCell ref="E72:F72"/>
    <mergeCell ref="G72:J72"/>
    <mergeCell ref="Q72:R72"/>
    <mergeCell ref="S72:U72"/>
    <mergeCell ref="V72:X72"/>
    <mergeCell ref="B73:C73"/>
    <mergeCell ref="E73:F73"/>
    <mergeCell ref="G73:J73"/>
    <mergeCell ref="Q73:R73"/>
    <mergeCell ref="S73:U73"/>
    <mergeCell ref="V73:X73"/>
    <mergeCell ref="B74:C74"/>
    <mergeCell ref="E74:F74"/>
    <mergeCell ref="G74:J74"/>
    <mergeCell ref="Q74:R74"/>
    <mergeCell ref="S74:U74"/>
    <mergeCell ref="V74:X74"/>
    <mergeCell ref="B75:C75"/>
    <mergeCell ref="E75:F75"/>
    <mergeCell ref="G75:J75"/>
    <mergeCell ref="Q75:R75"/>
    <mergeCell ref="S75:U75"/>
    <mergeCell ref="V75:X75"/>
    <mergeCell ref="B76:C76"/>
    <mergeCell ref="E76:F76"/>
    <mergeCell ref="G76:J76"/>
    <mergeCell ref="Q76:R76"/>
    <mergeCell ref="S76:U76"/>
    <mergeCell ref="V76:X76"/>
    <mergeCell ref="B77:C77"/>
    <mergeCell ref="E77:F77"/>
    <mergeCell ref="G77:J77"/>
    <mergeCell ref="Q77:R77"/>
    <mergeCell ref="S77:U77"/>
    <mergeCell ref="V77:X77"/>
    <mergeCell ref="B78:C78"/>
    <mergeCell ref="E78:F78"/>
    <mergeCell ref="G78:J78"/>
    <mergeCell ref="Q78:R78"/>
    <mergeCell ref="S78:U78"/>
    <mergeCell ref="V78:X78"/>
    <mergeCell ref="B79:C79"/>
    <mergeCell ref="E79:F79"/>
    <mergeCell ref="G79:J79"/>
    <mergeCell ref="Q79:R79"/>
    <mergeCell ref="S79:U79"/>
    <mergeCell ref="V79:X79"/>
    <mergeCell ref="B80:C80"/>
    <mergeCell ref="E80:F80"/>
    <mergeCell ref="G80:J80"/>
    <mergeCell ref="Q80:R80"/>
    <mergeCell ref="S80:U80"/>
    <mergeCell ref="V80:X80"/>
    <mergeCell ref="B81:C81"/>
    <mergeCell ref="E81:F81"/>
    <mergeCell ref="G81:J81"/>
    <mergeCell ref="Q81:R81"/>
    <mergeCell ref="S81:U81"/>
    <mergeCell ref="V81:X81"/>
    <mergeCell ref="B82:C82"/>
    <mergeCell ref="E82:F82"/>
    <mergeCell ref="G82:J82"/>
    <mergeCell ref="Q82:R82"/>
    <mergeCell ref="S82:U82"/>
    <mergeCell ref="V82:X82"/>
    <mergeCell ref="B83:C83"/>
    <mergeCell ref="E83:F83"/>
    <mergeCell ref="G83:J83"/>
    <mergeCell ref="Q83:R83"/>
    <mergeCell ref="S83:U83"/>
    <mergeCell ref="V83:X83"/>
    <mergeCell ref="B84:C84"/>
    <mergeCell ref="E84:F84"/>
    <mergeCell ref="G84:J84"/>
    <mergeCell ref="Q84:R84"/>
    <mergeCell ref="S84:U84"/>
    <mergeCell ref="V84:X84"/>
    <mergeCell ref="Z13:Z15"/>
    <mergeCell ref="Z16:Z18"/>
    <mergeCell ref="Z19:Z21"/>
    <mergeCell ref="Z22:Z25"/>
    <mergeCell ref="Z26:Z30"/>
    <mergeCell ref="Z31:Z35"/>
    <mergeCell ref="Z36:Z41"/>
    <mergeCell ref="Z42:Z46"/>
    <mergeCell ref="Z47:Z51"/>
    <mergeCell ref="Z52:Z56"/>
    <mergeCell ref="Z57:Z62"/>
    <mergeCell ref="Z63:Z67"/>
    <mergeCell ref="Z68:Z72"/>
    <mergeCell ref="Z73:Z78"/>
    <mergeCell ref="Z79:Z83"/>
    <mergeCell ref="AA13:AA15"/>
    <mergeCell ref="AA16:AA18"/>
    <mergeCell ref="AA19:AA21"/>
    <mergeCell ref="AA22:AA25"/>
    <mergeCell ref="AA26:AA30"/>
    <mergeCell ref="AA31:AA35"/>
    <mergeCell ref="AA36:AA41"/>
    <mergeCell ref="AA42:AA46"/>
    <mergeCell ref="AA47:AA51"/>
    <mergeCell ref="AA52:AA56"/>
    <mergeCell ref="AA57:AA62"/>
    <mergeCell ref="AA63:AA67"/>
    <mergeCell ref="AA68:AA72"/>
    <mergeCell ref="AA73:AA78"/>
    <mergeCell ref="AA79:AA83"/>
  </mergeCells>
  <pageMargins left="0.7" right="0.7" top="0.75" bottom="0.75" header="0.3" footer="0.3"/>
  <pageSetup paperSize="9" scale="10" orientation="portrait"/>
  <headerFooter/>
  <rowBreaks count="1" manualBreakCount="1">
    <brk id="1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56"/>
  <sheetViews>
    <sheetView view="pageBreakPreview" zoomScaleNormal="100" topLeftCell="A6" workbookViewId="0">
      <selection activeCell="M21" sqref="M21:O21"/>
    </sheetView>
  </sheetViews>
  <sheetFormatPr defaultColWidth="3.5" defaultRowHeight="13.5"/>
  <cols>
    <col min="1" max="1" width="3.5" customWidth="1"/>
    <col min="2" max="2" width="5.38333333333333" customWidth="1"/>
    <col min="3" max="8" width="3.5" customWidth="1"/>
    <col min="9" max="9" width="4.25" customWidth="1"/>
    <col min="10" max="10" width="3.5" customWidth="1"/>
    <col min="11" max="11" width="6.13333333333333" customWidth="1"/>
    <col min="12" max="12" width="4.75" customWidth="1"/>
    <col min="13" max="13" width="2.13333333333333" customWidth="1"/>
    <col min="14" max="21" width="3.5" customWidth="1"/>
    <col min="22" max="22" width="8.25" customWidth="1"/>
    <col min="23" max="16384" width="3.5" customWidth="1"/>
  </cols>
  <sheetData>
    <row r="1" spans="1:28">
      <c r="A1" s="84" t="s">
        <v>98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</row>
    <row r="3" spans="1:28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 ht="24" customHeight="1" spans="1:28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</row>
    <row r="5" ht="14.25" spans="1:28">
      <c r="A5" s="86" t="s">
        <v>99</v>
      </c>
      <c r="B5" s="86"/>
      <c r="C5" s="87" t="str">
        <f>报关草单!C3</f>
        <v>深圳市亿莱沃实业有限公司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6" t="s">
        <v>100</v>
      </c>
      <c r="U5" s="86"/>
      <c r="V5" s="86"/>
      <c r="W5" s="87" t="str">
        <f>报关草单!C6</f>
        <v>YLW-20260709001</v>
      </c>
      <c r="X5" s="87"/>
      <c r="Y5" s="87"/>
      <c r="Z5" s="87"/>
      <c r="AA5" s="87"/>
      <c r="AB5" s="87"/>
    </row>
    <row r="6" ht="14.25" spans="1:28">
      <c r="A6" s="86" t="s">
        <v>101</v>
      </c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6" t="s">
        <v>102</v>
      </c>
      <c r="U6" s="86"/>
      <c r="V6" s="86"/>
      <c r="W6" s="87"/>
      <c r="X6" s="87"/>
      <c r="Y6" s="87"/>
      <c r="Z6" s="87"/>
      <c r="AA6" s="87"/>
      <c r="AB6" s="87"/>
    </row>
    <row r="7" ht="14.25" spans="1:28">
      <c r="A7" s="86" t="s">
        <v>103</v>
      </c>
      <c r="B7" s="86"/>
      <c r="C7" s="87" t="s">
        <v>104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6" t="s">
        <v>105</v>
      </c>
      <c r="U7" s="86"/>
      <c r="V7" s="86"/>
      <c r="W7" s="88">
        <f>报关草单!N3</f>
        <v>46212</v>
      </c>
      <c r="X7" s="88"/>
      <c r="Y7" s="88"/>
      <c r="Z7" s="88"/>
      <c r="AA7" s="88"/>
      <c r="AB7" s="88"/>
    </row>
    <row r="8" ht="14.25" spans="1:28">
      <c r="A8" s="86" t="s">
        <v>106</v>
      </c>
      <c r="B8" s="86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6" t="s">
        <v>107</v>
      </c>
      <c r="U8" s="86"/>
      <c r="V8" s="86"/>
      <c r="W8" s="88"/>
      <c r="X8" s="88"/>
      <c r="Y8" s="88"/>
      <c r="Z8" s="88"/>
      <c r="AA8" s="88"/>
      <c r="AB8" s="88"/>
    </row>
    <row r="9" ht="14.25" spans="1:28">
      <c r="A9" s="89" t="s">
        <v>108</v>
      </c>
      <c r="B9" s="89"/>
      <c r="C9" s="89"/>
      <c r="D9" s="89">
        <v>18927405120</v>
      </c>
      <c r="E9" s="89"/>
      <c r="F9" s="89"/>
      <c r="G9" s="89"/>
      <c r="H9" s="89" t="s">
        <v>109</v>
      </c>
      <c r="I9" s="90"/>
      <c r="J9" s="89"/>
      <c r="K9" s="89"/>
      <c r="L9" s="89" t="s">
        <v>110</v>
      </c>
      <c r="M9" s="89"/>
      <c r="N9" s="89"/>
      <c r="O9" s="89"/>
      <c r="P9" s="89"/>
      <c r="Q9" s="89"/>
      <c r="R9" s="89"/>
      <c r="S9" s="89"/>
      <c r="T9" s="86" t="s">
        <v>111</v>
      </c>
      <c r="U9" s="86"/>
      <c r="V9" s="86"/>
      <c r="W9" s="87" t="s">
        <v>72</v>
      </c>
      <c r="X9" s="87"/>
      <c r="Y9" s="87"/>
      <c r="Z9" s="87"/>
      <c r="AA9" s="87"/>
      <c r="AB9" s="87"/>
    </row>
    <row r="10" ht="15.75" spans="1:28">
      <c r="A10" s="89" t="s">
        <v>112</v>
      </c>
      <c r="B10" s="89"/>
      <c r="C10" s="89"/>
      <c r="D10" s="89"/>
      <c r="E10" s="89"/>
      <c r="F10" s="89"/>
      <c r="G10" s="89"/>
      <c r="H10" s="90" t="s">
        <v>113</v>
      </c>
      <c r="I10" s="90"/>
      <c r="J10" s="89"/>
      <c r="K10" s="89"/>
      <c r="L10" s="89" t="s">
        <v>114</v>
      </c>
      <c r="M10" s="89"/>
      <c r="N10" s="89"/>
      <c r="O10" s="89"/>
      <c r="P10" s="89"/>
      <c r="Q10" s="89"/>
      <c r="R10" s="89"/>
      <c r="S10" s="89"/>
      <c r="T10" s="86" t="s">
        <v>115</v>
      </c>
      <c r="U10" s="86"/>
      <c r="V10" s="86"/>
      <c r="W10" s="87"/>
      <c r="X10" s="87"/>
      <c r="Y10" s="87"/>
      <c r="Z10" s="87"/>
      <c r="AA10" s="87"/>
      <c r="AB10" s="87"/>
    </row>
    <row r="11" ht="14.25" spans="1:28">
      <c r="A11" s="86" t="s">
        <v>116</v>
      </c>
      <c r="B11" s="86"/>
      <c r="C11" s="86" t="str">
        <f>报关草单!C4</f>
        <v>HK Kuntaikang Industrial Co., Limited</v>
      </c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</row>
    <row r="12" ht="14.25" spans="1:28">
      <c r="A12" s="86" t="s">
        <v>117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</row>
    <row r="13" ht="14.25" spans="1:28">
      <c r="A13" s="86" t="s">
        <v>103</v>
      </c>
      <c r="B13" s="86"/>
      <c r="C13" s="86" t="s">
        <v>118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</row>
    <row r="14" ht="14.25" spans="1:28">
      <c r="A14" s="86" t="s">
        <v>106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</row>
    <row r="15" ht="14.25" spans="1:28">
      <c r="A15" s="86" t="s">
        <v>119</v>
      </c>
      <c r="B15" s="86"/>
      <c r="C15" s="86"/>
      <c r="D15" s="87"/>
      <c r="E15" s="87"/>
      <c r="F15" s="87"/>
      <c r="G15" s="87"/>
      <c r="H15" s="86" t="s">
        <v>120</v>
      </c>
      <c r="I15" s="86"/>
      <c r="J15" s="87"/>
      <c r="K15" s="87"/>
      <c r="L15" s="87"/>
      <c r="M15" s="87"/>
      <c r="N15" s="87"/>
      <c r="O15" s="87"/>
      <c r="P15" s="86" t="s">
        <v>121</v>
      </c>
      <c r="Q15" s="86"/>
      <c r="R15" s="86"/>
      <c r="S15" s="86"/>
      <c r="T15" s="89"/>
      <c r="U15" s="89"/>
      <c r="V15" s="89"/>
      <c r="W15" s="89"/>
      <c r="X15" s="89"/>
      <c r="Y15" s="89"/>
      <c r="Z15" s="89"/>
      <c r="AA15" s="89"/>
      <c r="AB15" s="89"/>
    </row>
    <row r="16" ht="14.25" spans="1:28">
      <c r="A16" s="86" t="s">
        <v>112</v>
      </c>
      <c r="B16" s="86"/>
      <c r="C16" s="86"/>
      <c r="D16" s="87"/>
      <c r="E16" s="87"/>
      <c r="F16" s="87"/>
      <c r="G16" s="87"/>
      <c r="H16" s="86" t="s">
        <v>113</v>
      </c>
      <c r="I16" s="86"/>
      <c r="J16" s="87"/>
      <c r="K16" s="87"/>
      <c r="L16" s="87"/>
      <c r="M16" s="87"/>
      <c r="N16" s="87"/>
      <c r="O16" s="87"/>
      <c r="P16" s="86" t="s">
        <v>114</v>
      </c>
      <c r="Q16" s="86"/>
      <c r="R16" s="86"/>
      <c r="S16" s="86"/>
      <c r="T16" s="89"/>
      <c r="U16" s="89"/>
      <c r="V16" s="89"/>
      <c r="W16" s="89"/>
      <c r="X16" s="89"/>
      <c r="Y16" s="89"/>
      <c r="Z16" s="89"/>
      <c r="AA16" s="89"/>
      <c r="AB16" s="89"/>
    </row>
    <row r="17" ht="21" customHeight="1" spans="1:28">
      <c r="A17" s="89" t="s">
        <v>122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</row>
    <row r="18" ht="18" customHeight="1" spans="1:28">
      <c r="A18" s="91" t="s">
        <v>123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</row>
    <row r="19" ht="18" customHeight="1" spans="1:28">
      <c r="A19" s="81" t="s">
        <v>124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 t="s">
        <v>125</v>
      </c>
      <c r="N19" s="81"/>
      <c r="O19" s="81"/>
      <c r="P19" s="81"/>
      <c r="Q19" s="81"/>
      <c r="R19" s="81" t="s">
        <v>126</v>
      </c>
      <c r="S19" s="81"/>
      <c r="T19" s="81"/>
      <c r="U19" s="81"/>
      <c r="V19" s="81"/>
      <c r="W19" s="81" t="s">
        <v>127</v>
      </c>
      <c r="X19" s="81"/>
      <c r="Y19" s="81"/>
      <c r="Z19" s="81"/>
      <c r="AA19" s="81"/>
      <c r="AB19" s="81"/>
    </row>
    <row r="20" ht="20" customHeight="1" spans="1:28">
      <c r="A20" s="81" t="s">
        <v>128</v>
      </c>
      <c r="B20" s="81"/>
      <c r="C20" s="81"/>
      <c r="D20" s="81"/>
      <c r="E20" s="81"/>
      <c r="F20" s="81"/>
      <c r="G20" s="81"/>
      <c r="H20" s="81"/>
      <c r="I20" s="81"/>
      <c r="J20" s="92"/>
      <c r="K20" s="81"/>
      <c r="L20" s="81"/>
      <c r="M20" s="81" t="s">
        <v>129</v>
      </c>
      <c r="N20" s="81"/>
      <c r="O20" s="81"/>
      <c r="P20" s="81"/>
      <c r="Q20" s="81"/>
      <c r="R20" s="81" t="s">
        <v>130</v>
      </c>
      <c r="S20" s="81"/>
      <c r="T20" s="81"/>
      <c r="U20" s="81"/>
      <c r="V20" s="81"/>
      <c r="W20" s="81" t="s">
        <v>131</v>
      </c>
      <c r="X20" s="81"/>
      <c r="Y20" s="81"/>
      <c r="Z20" s="81"/>
      <c r="AA20" s="81"/>
      <c r="AB20" s="81"/>
    </row>
    <row r="21" ht="21" customHeight="1" spans="1:28">
      <c r="A21" s="71" t="s">
        <v>76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>
        <v>3</v>
      </c>
      <c r="N21" s="71"/>
      <c r="O21" s="71"/>
      <c r="P21" s="81" t="str">
        <f>报关草单!L13</f>
        <v>个</v>
      </c>
      <c r="Q21" s="81"/>
      <c r="R21" s="93">
        <v>6.58337</v>
      </c>
      <c r="S21" s="93"/>
      <c r="T21" s="93"/>
      <c r="U21" s="93"/>
      <c r="V21" s="93"/>
      <c r="W21" s="94">
        <f t="shared" ref="W21:W28" si="0">M21*R21</f>
        <v>19.75011</v>
      </c>
      <c r="X21" s="94"/>
      <c r="Y21" s="94"/>
      <c r="Z21" s="94"/>
      <c r="AA21" s="94"/>
      <c r="AB21" s="94"/>
    </row>
    <row r="22" ht="21" customHeight="1" spans="1:28">
      <c r="A22" s="71" t="s">
        <v>132</v>
      </c>
      <c r="B22" s="71" t="s">
        <v>132</v>
      </c>
      <c r="C22" s="71" t="s">
        <v>132</v>
      </c>
      <c r="D22" s="71" t="s">
        <v>132</v>
      </c>
      <c r="E22" s="71" t="s">
        <v>132</v>
      </c>
      <c r="F22" s="71" t="s">
        <v>132</v>
      </c>
      <c r="G22" s="71" t="s">
        <v>132</v>
      </c>
      <c r="H22" s="71" t="s">
        <v>132</v>
      </c>
      <c r="I22" s="71" t="s">
        <v>132</v>
      </c>
      <c r="J22" s="71" t="s">
        <v>132</v>
      </c>
      <c r="K22" s="71" t="s">
        <v>132</v>
      </c>
      <c r="L22" s="71" t="s">
        <v>132</v>
      </c>
      <c r="M22" s="71">
        <v>20</v>
      </c>
      <c r="N22" s="71">
        <v>40</v>
      </c>
      <c r="O22" s="71">
        <v>40</v>
      </c>
      <c r="P22" s="81" t="s">
        <v>90</v>
      </c>
      <c r="Q22" s="81"/>
      <c r="R22" s="93">
        <v>2.24</v>
      </c>
      <c r="S22" s="93"/>
      <c r="T22" s="93"/>
      <c r="U22" s="93"/>
      <c r="V22" s="93"/>
      <c r="W22" s="94">
        <f t="shared" si="0"/>
        <v>44.8</v>
      </c>
      <c r="X22" s="94"/>
      <c r="Y22" s="94"/>
      <c r="Z22" s="94"/>
      <c r="AA22" s="94"/>
      <c r="AB22" s="94"/>
    </row>
    <row r="23" ht="22" customHeight="1" spans="1:28">
      <c r="A23" s="71" t="s">
        <v>96</v>
      </c>
      <c r="B23" s="71" t="s">
        <v>96</v>
      </c>
      <c r="C23" s="71" t="s">
        <v>96</v>
      </c>
      <c r="D23" s="71" t="s">
        <v>96</v>
      </c>
      <c r="E23" s="71" t="s">
        <v>96</v>
      </c>
      <c r="F23" s="71" t="s">
        <v>96</v>
      </c>
      <c r="G23" s="71" t="s">
        <v>96</v>
      </c>
      <c r="H23" s="71" t="s">
        <v>96</v>
      </c>
      <c r="I23" s="71" t="s">
        <v>96</v>
      </c>
      <c r="J23" s="71" t="s">
        <v>96</v>
      </c>
      <c r="K23" s="71" t="s">
        <v>96</v>
      </c>
      <c r="L23" s="71" t="s">
        <v>96</v>
      </c>
      <c r="M23" s="71">
        <v>30</v>
      </c>
      <c r="N23" s="71">
        <v>41</v>
      </c>
      <c r="O23" s="71">
        <v>41</v>
      </c>
      <c r="P23" s="81" t="s">
        <v>70</v>
      </c>
      <c r="Q23" s="81"/>
      <c r="R23" s="93">
        <v>2.06088</v>
      </c>
      <c r="S23" s="93"/>
      <c r="T23" s="93"/>
      <c r="U23" s="93"/>
      <c r="V23" s="93"/>
      <c r="W23" s="94">
        <f t="shared" si="0"/>
        <v>61.8264</v>
      </c>
      <c r="X23" s="94"/>
      <c r="Y23" s="94"/>
      <c r="Z23" s="94"/>
      <c r="AA23" s="94"/>
      <c r="AB23" s="94"/>
    </row>
    <row r="24" ht="20" customHeight="1" spans="1:28">
      <c r="A24" s="71" t="s">
        <v>86</v>
      </c>
      <c r="B24" s="71" t="s">
        <v>86</v>
      </c>
      <c r="C24" s="71" t="s">
        <v>86</v>
      </c>
      <c r="D24" s="71" t="s">
        <v>86</v>
      </c>
      <c r="E24" s="71" t="s">
        <v>86</v>
      </c>
      <c r="F24" s="71" t="s">
        <v>86</v>
      </c>
      <c r="G24" s="71" t="s">
        <v>86</v>
      </c>
      <c r="H24" s="71" t="s">
        <v>86</v>
      </c>
      <c r="I24" s="71" t="s">
        <v>86</v>
      </c>
      <c r="J24" s="71" t="s">
        <v>86</v>
      </c>
      <c r="K24" s="71" t="s">
        <v>86</v>
      </c>
      <c r="L24" s="71" t="s">
        <v>86</v>
      </c>
      <c r="M24" s="71">
        <v>58</v>
      </c>
      <c r="N24" s="71">
        <v>103</v>
      </c>
      <c r="O24" s="71">
        <v>103</v>
      </c>
      <c r="P24" s="81" t="str">
        <f>报关草单!L17</f>
        <v>个</v>
      </c>
      <c r="Q24" s="81"/>
      <c r="R24" s="93">
        <v>3.8379</v>
      </c>
      <c r="S24" s="93"/>
      <c r="T24" s="93"/>
      <c r="U24" s="93"/>
      <c r="V24" s="93"/>
      <c r="W24" s="94">
        <f t="shared" si="0"/>
        <v>222.5982</v>
      </c>
      <c r="X24" s="94"/>
      <c r="Y24" s="94"/>
      <c r="Z24" s="94"/>
      <c r="AA24" s="94"/>
      <c r="AB24" s="94"/>
    </row>
    <row r="25" ht="20" customHeight="1" spans="1:28">
      <c r="A25" s="71" t="s">
        <v>69</v>
      </c>
      <c r="B25" s="71" t="s">
        <v>133</v>
      </c>
      <c r="C25" s="71" t="s">
        <v>133</v>
      </c>
      <c r="D25" s="71" t="s">
        <v>133</v>
      </c>
      <c r="E25" s="71" t="s">
        <v>133</v>
      </c>
      <c r="F25" s="71" t="s">
        <v>133</v>
      </c>
      <c r="G25" s="71" t="s">
        <v>133</v>
      </c>
      <c r="H25" s="71" t="s">
        <v>133</v>
      </c>
      <c r="I25" s="71" t="s">
        <v>133</v>
      </c>
      <c r="J25" s="71" t="s">
        <v>133</v>
      </c>
      <c r="K25" s="71" t="s">
        <v>133</v>
      </c>
      <c r="L25" s="71" t="s">
        <v>133</v>
      </c>
      <c r="M25" s="71">
        <v>22</v>
      </c>
      <c r="N25" s="71">
        <v>30</v>
      </c>
      <c r="O25" s="71">
        <v>30</v>
      </c>
      <c r="P25" s="81" t="str">
        <f>报关草单!L18</f>
        <v>个</v>
      </c>
      <c r="Q25" s="81"/>
      <c r="R25" s="93">
        <v>7.17</v>
      </c>
      <c r="S25" s="93"/>
      <c r="T25" s="93"/>
      <c r="U25" s="93"/>
      <c r="V25" s="93"/>
      <c r="W25" s="94">
        <f t="shared" si="0"/>
        <v>157.74</v>
      </c>
      <c r="X25" s="94"/>
      <c r="Y25" s="94"/>
      <c r="Z25" s="94"/>
      <c r="AA25" s="94"/>
      <c r="AB25" s="94"/>
    </row>
    <row r="26" ht="20" customHeight="1" spans="1:28">
      <c r="A26" s="71" t="s">
        <v>80</v>
      </c>
      <c r="B26" s="71" t="s">
        <v>80</v>
      </c>
      <c r="C26" s="71" t="s">
        <v>80</v>
      </c>
      <c r="D26" s="71" t="s">
        <v>80</v>
      </c>
      <c r="E26" s="71" t="s">
        <v>80</v>
      </c>
      <c r="F26" s="71" t="s">
        <v>80</v>
      </c>
      <c r="G26" s="71" t="s">
        <v>80</v>
      </c>
      <c r="H26" s="71" t="s">
        <v>80</v>
      </c>
      <c r="I26" s="71" t="s">
        <v>80</v>
      </c>
      <c r="J26" s="71" t="s">
        <v>80</v>
      </c>
      <c r="K26" s="71" t="s">
        <v>80</v>
      </c>
      <c r="L26" s="71" t="s">
        <v>80</v>
      </c>
      <c r="M26" s="71">
        <v>31</v>
      </c>
      <c r="N26" s="71">
        <v>27</v>
      </c>
      <c r="O26" s="71">
        <v>27</v>
      </c>
      <c r="P26" s="81" t="s">
        <v>134</v>
      </c>
      <c r="Q26" s="81"/>
      <c r="R26" s="95">
        <v>8.159</v>
      </c>
      <c r="S26" s="95"/>
      <c r="T26" s="95"/>
      <c r="U26" s="95"/>
      <c r="V26" s="95"/>
      <c r="W26" s="94">
        <f t="shared" si="0"/>
        <v>252.929</v>
      </c>
      <c r="X26" s="94"/>
      <c r="Y26" s="94"/>
      <c r="Z26" s="94"/>
      <c r="AA26" s="94"/>
      <c r="AB26" s="94"/>
    </row>
    <row r="27" ht="20" customHeight="1" spans="1:28">
      <c r="A27" s="80" t="s">
        <v>83</v>
      </c>
      <c r="B27" s="80"/>
      <c r="C27" s="80"/>
      <c r="D27" s="80"/>
      <c r="E27" s="80"/>
      <c r="F27" s="80"/>
      <c r="G27" s="80"/>
      <c r="H27" s="80"/>
      <c r="I27" s="80"/>
      <c r="J27" s="96"/>
      <c r="K27" s="80"/>
      <c r="L27" s="80"/>
      <c r="M27" s="81">
        <v>10</v>
      </c>
      <c r="N27" s="81"/>
      <c r="O27" s="81"/>
      <c r="P27" s="81" t="s">
        <v>134</v>
      </c>
      <c r="Q27" s="81"/>
      <c r="R27" s="95">
        <v>3.525</v>
      </c>
      <c r="S27" s="95"/>
      <c r="T27" s="95"/>
      <c r="U27" s="95"/>
      <c r="V27" s="95"/>
      <c r="W27" s="94">
        <f t="shared" si="0"/>
        <v>35.25</v>
      </c>
      <c r="X27" s="94"/>
      <c r="Y27" s="94"/>
      <c r="Z27" s="94"/>
      <c r="AA27" s="94"/>
      <c r="AB27" s="94"/>
    </row>
    <row r="28" ht="20" customHeight="1" spans="1:28">
      <c r="A28" s="80" t="s">
        <v>93</v>
      </c>
      <c r="B28" s="80"/>
      <c r="C28" s="80"/>
      <c r="D28" s="80"/>
      <c r="E28" s="80"/>
      <c r="F28" s="80"/>
      <c r="G28" s="80"/>
      <c r="H28" s="80"/>
      <c r="I28" s="80"/>
      <c r="J28" s="96"/>
      <c r="K28" s="80"/>
      <c r="L28" s="80"/>
      <c r="M28" s="81">
        <v>52</v>
      </c>
      <c r="N28" s="81"/>
      <c r="O28" s="81"/>
      <c r="P28" s="81" t="s">
        <v>70</v>
      </c>
      <c r="Q28" s="81"/>
      <c r="R28" s="95">
        <v>5.14</v>
      </c>
      <c r="S28" s="95"/>
      <c r="T28" s="95"/>
      <c r="U28" s="95"/>
      <c r="V28" s="95"/>
      <c r="W28" s="94">
        <f t="shared" si="0"/>
        <v>267.28</v>
      </c>
      <c r="X28" s="94"/>
      <c r="Y28" s="94"/>
      <c r="Z28" s="94"/>
      <c r="AA28" s="94"/>
      <c r="AB28" s="94"/>
    </row>
    <row r="29" ht="18" customHeight="1" spans="1:28">
      <c r="A29" s="80"/>
      <c r="B29" s="80"/>
      <c r="C29" s="80"/>
      <c r="D29" s="80"/>
      <c r="E29" s="80"/>
      <c r="F29" s="80"/>
      <c r="G29" s="80"/>
      <c r="H29" s="80"/>
      <c r="I29" s="80"/>
      <c r="J29" s="96"/>
      <c r="K29" s="80"/>
      <c r="L29" s="80"/>
      <c r="M29" s="81">
        <f>SUM(M21:M28)</f>
        <v>226</v>
      </c>
      <c r="N29" s="81"/>
      <c r="O29" s="81"/>
      <c r="P29" s="81"/>
      <c r="Q29" s="81"/>
      <c r="R29" s="92"/>
      <c r="S29" s="92"/>
      <c r="T29" s="92"/>
      <c r="U29" s="92"/>
      <c r="V29" s="92"/>
      <c r="W29" s="94">
        <f>SUM(W21:AB28)</f>
        <v>1062.17371</v>
      </c>
      <c r="X29" s="94"/>
      <c r="Y29" s="94"/>
      <c r="Z29" s="94"/>
      <c r="AA29" s="94"/>
      <c r="AB29" s="94"/>
    </row>
    <row r="30" ht="14.25" spans="1:28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</row>
    <row r="31" ht="14.25" spans="1:28">
      <c r="A31" s="89" t="s">
        <v>135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 t="s">
        <v>136</v>
      </c>
      <c r="T31" s="89"/>
      <c r="U31" s="89"/>
      <c r="V31" s="89"/>
      <c r="W31" s="97">
        <f>W29</f>
        <v>1062.17371</v>
      </c>
      <c r="X31" s="97"/>
      <c r="Y31" s="97"/>
      <c r="Z31" s="97"/>
      <c r="AA31" s="97"/>
      <c r="AB31" s="97"/>
    </row>
    <row r="32" ht="14.25" spans="1:28">
      <c r="A32" s="89" t="s">
        <v>137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 t="s">
        <v>138</v>
      </c>
      <c r="T32" s="89"/>
      <c r="U32" s="89"/>
      <c r="V32" s="89"/>
      <c r="W32" s="89"/>
      <c r="X32" s="89"/>
      <c r="Y32" s="89"/>
      <c r="Z32" s="89"/>
      <c r="AA32" s="89"/>
      <c r="AB32" s="89"/>
    </row>
    <row r="33" ht="14.25" spans="1:28">
      <c r="A33" s="87" t="s">
        <v>139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</row>
    <row r="34" ht="14.25" spans="1:28">
      <c r="A34" s="89" t="s">
        <v>140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</row>
    <row r="35" ht="14.25" spans="1:28">
      <c r="A35" s="89" t="s">
        <v>141</v>
      </c>
      <c r="B35" s="89"/>
      <c r="C35" s="89"/>
      <c r="D35" s="89"/>
      <c r="E35" s="89"/>
      <c r="F35" s="89"/>
      <c r="G35" s="89">
        <f>[1]报关资料录入!S13</f>
        <v>0</v>
      </c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</row>
    <row r="36" ht="14.25" spans="1:28">
      <c r="A36" s="89" t="s">
        <v>142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</row>
    <row r="37" ht="14.25" spans="1:28">
      <c r="A37" s="89" t="s">
        <v>143</v>
      </c>
      <c r="B37" s="89"/>
      <c r="C37" s="89"/>
      <c r="D37" s="89"/>
      <c r="E37" s="89"/>
      <c r="F37" s="89">
        <f>[1]报关资料录入!AB10</f>
        <v>0</v>
      </c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</row>
    <row r="38" ht="14.25" spans="1:28">
      <c r="A38" s="89" t="s">
        <v>144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</row>
    <row r="39" ht="14.25" spans="1:28">
      <c r="A39" s="89" t="s">
        <v>145</v>
      </c>
      <c r="B39" s="89"/>
      <c r="C39" s="89"/>
      <c r="D39" s="89"/>
      <c r="E39" s="89"/>
      <c r="F39" s="89"/>
      <c r="G39" s="98" t="s">
        <v>72</v>
      </c>
      <c r="H39" s="98"/>
      <c r="I39" s="98"/>
      <c r="J39" s="89"/>
      <c r="K39" s="98"/>
      <c r="L39" s="98"/>
      <c r="M39" s="98"/>
      <c r="N39" s="98"/>
      <c r="O39" s="98"/>
      <c r="P39" s="89" t="s">
        <v>146</v>
      </c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</row>
    <row r="40" ht="14.25" spans="1:28">
      <c r="A40" s="89" t="s">
        <v>147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 t="s">
        <v>148</v>
      </c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</row>
    <row r="41" ht="14.25" spans="1:28">
      <c r="A41" s="89" t="s">
        <v>149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 t="s">
        <v>150</v>
      </c>
      <c r="O41" s="89"/>
      <c r="P41" s="89"/>
      <c r="Q41" s="89"/>
      <c r="R41" s="89"/>
      <c r="S41" s="89" t="s">
        <v>151</v>
      </c>
      <c r="T41" s="89"/>
      <c r="U41" s="89"/>
      <c r="V41" s="89"/>
      <c r="W41" s="89"/>
      <c r="X41" s="89"/>
      <c r="Y41" s="89"/>
      <c r="Z41" s="89"/>
      <c r="AA41" s="89"/>
      <c r="AB41" s="89"/>
    </row>
    <row r="42" ht="14.25" spans="1:28">
      <c r="A42" s="89" t="s">
        <v>152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91"/>
      <c r="W42" s="91"/>
      <c r="X42" s="91"/>
      <c r="Y42" s="89" t="s">
        <v>153</v>
      </c>
      <c r="Z42" s="89"/>
      <c r="AA42" s="89"/>
      <c r="AB42" s="89"/>
    </row>
    <row r="43" ht="14.25" spans="1:28">
      <c r="A43" s="89" t="s">
        <v>154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</row>
    <row r="44" ht="14.25" spans="1:28">
      <c r="A44" s="89" t="s">
        <v>155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</row>
    <row r="45" ht="14.25" spans="1:28">
      <c r="A45" s="99" t="s">
        <v>156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</row>
    <row r="46" ht="14.25" spans="1:28">
      <c r="A46" s="99" t="s">
        <v>157</v>
      </c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</row>
    <row r="47" ht="14.25" spans="1:28">
      <c r="A47" s="99" t="s">
        <v>158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</row>
    <row r="48" ht="101" customHeight="1" spans="1:28">
      <c r="A48" s="100" t="s">
        <v>159</v>
      </c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1" t="s">
        <v>160</v>
      </c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</row>
    <row r="49" ht="14.25" spans="1:28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ht="14.25" spans="1:28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</row>
    <row r="51" ht="14.25" spans="1:28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</row>
    <row r="52" ht="14.25" spans="1:28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</row>
    <row r="53" ht="14.25" spans="1:28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</row>
    <row r="54" spans="1:28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</row>
    <row r="55" spans="1:28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</row>
    <row r="56" spans="1:28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</row>
  </sheetData>
  <protectedRanges>
    <protectedRange sqref="L41:M41" name="区域1"/>
    <protectedRange sqref="P41:R41" name="区域2"/>
    <protectedRange sqref="L41:M41" name="区域1_1"/>
  </protectedRanges>
  <mergeCells count="146">
    <mergeCell ref="A5:B5"/>
    <mergeCell ref="C5:S5"/>
    <mergeCell ref="T5:V5"/>
    <mergeCell ref="W5:AB5"/>
    <mergeCell ref="A6:B6"/>
    <mergeCell ref="C6:S6"/>
    <mergeCell ref="T6:V6"/>
    <mergeCell ref="W6:AB6"/>
    <mergeCell ref="A7:B7"/>
    <mergeCell ref="C7:S7"/>
    <mergeCell ref="T7:V7"/>
    <mergeCell ref="W7:AB7"/>
    <mergeCell ref="A8:B8"/>
    <mergeCell ref="C8:S8"/>
    <mergeCell ref="T8:V8"/>
    <mergeCell ref="W8:AB8"/>
    <mergeCell ref="A9:C9"/>
    <mergeCell ref="D9:G9"/>
    <mergeCell ref="H9:I9"/>
    <mergeCell ref="J9:K9"/>
    <mergeCell ref="L9:M9"/>
    <mergeCell ref="N9:S9"/>
    <mergeCell ref="T9:V9"/>
    <mergeCell ref="W9:AB9"/>
    <mergeCell ref="A10:C10"/>
    <mergeCell ref="D10:G10"/>
    <mergeCell ref="J10:K10"/>
    <mergeCell ref="L10:M10"/>
    <mergeCell ref="N10:S10"/>
    <mergeCell ref="T10:V10"/>
    <mergeCell ref="W10:AB10"/>
    <mergeCell ref="A11:B11"/>
    <mergeCell ref="C11:AB11"/>
    <mergeCell ref="A12:B12"/>
    <mergeCell ref="C12:AB12"/>
    <mergeCell ref="A13:B13"/>
    <mergeCell ref="C13:AB13"/>
    <mergeCell ref="A14:B14"/>
    <mergeCell ref="C14:AB14"/>
    <mergeCell ref="A15:C15"/>
    <mergeCell ref="D15:G15"/>
    <mergeCell ref="H15:I15"/>
    <mergeCell ref="J15:O15"/>
    <mergeCell ref="P15:S15"/>
    <mergeCell ref="A16:C16"/>
    <mergeCell ref="D16:G16"/>
    <mergeCell ref="H16:I16"/>
    <mergeCell ref="J16:O16"/>
    <mergeCell ref="P16:S16"/>
    <mergeCell ref="A17:AB17"/>
    <mergeCell ref="A18:AB18"/>
    <mergeCell ref="A19:L19"/>
    <mergeCell ref="M19:Q19"/>
    <mergeCell ref="R19:V19"/>
    <mergeCell ref="W19:AB19"/>
    <mergeCell ref="A20:L20"/>
    <mergeCell ref="M20:Q20"/>
    <mergeCell ref="R20:V20"/>
    <mergeCell ref="W20:AB20"/>
    <mergeCell ref="A21:L21"/>
    <mergeCell ref="M21:O21"/>
    <mergeCell ref="P21:Q21"/>
    <mergeCell ref="R21:V21"/>
    <mergeCell ref="W21:AB21"/>
    <mergeCell ref="A22:L22"/>
    <mergeCell ref="M22:O22"/>
    <mergeCell ref="P22:Q22"/>
    <mergeCell ref="R22:V22"/>
    <mergeCell ref="W22:AB22"/>
    <mergeCell ref="A23:L23"/>
    <mergeCell ref="M23:O23"/>
    <mergeCell ref="P23:Q23"/>
    <mergeCell ref="R23:V23"/>
    <mergeCell ref="W23:AB23"/>
    <mergeCell ref="A24:L24"/>
    <mergeCell ref="M24:O24"/>
    <mergeCell ref="P24:Q24"/>
    <mergeCell ref="R24:V24"/>
    <mergeCell ref="W24:AB24"/>
    <mergeCell ref="A25:L25"/>
    <mergeCell ref="M25:O25"/>
    <mergeCell ref="P25:Q25"/>
    <mergeCell ref="R25:V25"/>
    <mergeCell ref="W25:AB25"/>
    <mergeCell ref="A26:L26"/>
    <mergeCell ref="M26:O26"/>
    <mergeCell ref="P26:Q26"/>
    <mergeCell ref="R26:V26"/>
    <mergeCell ref="W26:AB26"/>
    <mergeCell ref="A27:L27"/>
    <mergeCell ref="M27:O27"/>
    <mergeCell ref="P27:Q27"/>
    <mergeCell ref="R27:V27"/>
    <mergeCell ref="W27:AB27"/>
    <mergeCell ref="A28:L28"/>
    <mergeCell ref="M28:O28"/>
    <mergeCell ref="P28:Q28"/>
    <mergeCell ref="R28:V28"/>
    <mergeCell ref="W28:AB28"/>
    <mergeCell ref="A29:L29"/>
    <mergeCell ref="M29:O29"/>
    <mergeCell ref="P29:Q29"/>
    <mergeCell ref="R29:V29"/>
    <mergeCell ref="W29:AB29"/>
    <mergeCell ref="A30:AB30"/>
    <mergeCell ref="A31:R31"/>
    <mergeCell ref="S31:V31"/>
    <mergeCell ref="W31:AB31"/>
    <mergeCell ref="A32:R32"/>
    <mergeCell ref="S32:V32"/>
    <mergeCell ref="W32:AB32"/>
    <mergeCell ref="A33:AB33"/>
    <mergeCell ref="A34:F34"/>
    <mergeCell ref="G34:AB34"/>
    <mergeCell ref="A35:E35"/>
    <mergeCell ref="G35:AB35"/>
    <mergeCell ref="A36:H36"/>
    <mergeCell ref="I36:AB36"/>
    <mergeCell ref="A37:E37"/>
    <mergeCell ref="F37:AB37"/>
    <mergeCell ref="A38:F38"/>
    <mergeCell ref="G38:AB38"/>
    <mergeCell ref="A39:F39"/>
    <mergeCell ref="G39:I39"/>
    <mergeCell ref="K39:O39"/>
    <mergeCell ref="P39:AB39"/>
    <mergeCell ref="A40:N40"/>
    <mergeCell ref="O40:AB40"/>
    <mergeCell ref="A41:K41"/>
    <mergeCell ref="L41:M41"/>
    <mergeCell ref="N41:O41"/>
    <mergeCell ref="P41:R41"/>
    <mergeCell ref="S41:AB41"/>
    <mergeCell ref="A42:U42"/>
    <mergeCell ref="V42:X42"/>
    <mergeCell ref="Z42:AB42"/>
    <mergeCell ref="A43:AB43"/>
    <mergeCell ref="A44:AB44"/>
    <mergeCell ref="A45:AB45"/>
    <mergeCell ref="A46:AB46"/>
    <mergeCell ref="A47:AB47"/>
    <mergeCell ref="A48:N48"/>
    <mergeCell ref="O48:AB48"/>
    <mergeCell ref="A1:AB4"/>
    <mergeCell ref="T15:AB16"/>
    <mergeCell ref="A54:AB56"/>
  </mergeCells>
  <pageMargins left="0.7" right="0.7" top="0.75" bottom="0.75" header="0.3" footer="0.3"/>
  <pageSetup paperSize="9" scale="1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32"/>
  <sheetViews>
    <sheetView view="pageBreakPreview" zoomScaleNormal="100" topLeftCell="A7" workbookViewId="0">
      <selection activeCell="N23" sqref="N23:P23"/>
    </sheetView>
  </sheetViews>
  <sheetFormatPr defaultColWidth="3.88333333333333" defaultRowHeight="13.5"/>
  <cols>
    <col min="1" max="1" width="4.63333333333333" customWidth="1"/>
    <col min="2" max="2" width="1.88333333333333" customWidth="1"/>
    <col min="3" max="3" width="5.13333333333333" customWidth="1"/>
    <col min="4" max="4" width="3.88333333333333" customWidth="1"/>
    <col min="5" max="5" width="4.75" customWidth="1"/>
    <col min="6" max="16384" width="3.88333333333333" customWidth="1"/>
  </cols>
  <sheetData>
    <row r="1" spans="1:26">
      <c r="A1" s="72" t="s">
        <v>161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4.25" spans="1:26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74" t="s">
        <v>162</v>
      </c>
      <c r="S7" s="74"/>
      <c r="T7" s="44" t="str">
        <f>报关草单!C6</f>
        <v>YLW-20260709001</v>
      </c>
      <c r="U7" s="44"/>
      <c r="V7" s="44"/>
      <c r="W7" s="44"/>
      <c r="X7" s="44"/>
      <c r="Y7" s="44"/>
      <c r="Z7" s="44"/>
    </row>
    <row r="8" ht="14.25" spans="1:26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74" t="s">
        <v>163</v>
      </c>
      <c r="S8" s="74"/>
      <c r="T8" s="44"/>
      <c r="U8" s="44"/>
      <c r="V8" s="44"/>
      <c r="W8" s="44"/>
      <c r="X8" s="44"/>
      <c r="Y8" s="44"/>
      <c r="Z8" s="44"/>
    </row>
    <row r="9" ht="16" customHeight="1" spans="1:26">
      <c r="A9" s="74" t="s">
        <v>164</v>
      </c>
      <c r="B9" s="44"/>
      <c r="C9" s="44"/>
      <c r="D9" s="44"/>
      <c r="E9" s="44"/>
      <c r="F9" s="44" t="str">
        <f>报关草单!C3</f>
        <v>深圳市亿莱沃实业有限公司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 t="s">
        <v>165</v>
      </c>
      <c r="S9" s="44"/>
      <c r="T9" s="45">
        <f>报关草单!N3</f>
        <v>46212</v>
      </c>
      <c r="U9" s="44"/>
      <c r="V9" s="44"/>
      <c r="W9" s="44"/>
      <c r="X9" s="44"/>
      <c r="Y9" s="44"/>
      <c r="Z9" s="44"/>
    </row>
    <row r="10" ht="15" customHeight="1" spans="1:26">
      <c r="A10" s="44" t="s">
        <v>166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 t="s">
        <v>167</v>
      </c>
      <c r="S10" s="44"/>
      <c r="T10" s="75"/>
      <c r="U10" s="75"/>
      <c r="V10" s="75"/>
      <c r="W10" s="75"/>
      <c r="X10" s="75"/>
      <c r="Y10" s="75"/>
      <c r="Z10" s="75"/>
    </row>
    <row r="11" spans="1:26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14.25" spans="1:26">
      <c r="A13" s="61" t="s">
        <v>168</v>
      </c>
      <c r="B13" s="61"/>
      <c r="C13" s="61"/>
      <c r="D13" s="77" t="s">
        <v>169</v>
      </c>
      <c r="E13" s="78"/>
      <c r="F13" s="78"/>
      <c r="G13" s="78"/>
      <c r="H13" s="78"/>
      <c r="I13" s="78"/>
      <c r="J13" s="78"/>
      <c r="K13" s="78"/>
      <c r="L13" s="78"/>
      <c r="M13" s="79"/>
      <c r="N13" s="52" t="s">
        <v>170</v>
      </c>
      <c r="O13" s="52"/>
      <c r="P13" s="52"/>
      <c r="Q13" s="52" t="s">
        <v>59</v>
      </c>
      <c r="R13" s="52"/>
      <c r="S13" s="52" t="s">
        <v>171</v>
      </c>
      <c r="T13" s="52"/>
      <c r="U13" s="52"/>
      <c r="V13" s="52"/>
      <c r="W13" s="52" t="s">
        <v>172</v>
      </c>
      <c r="X13" s="52"/>
      <c r="Y13" s="52"/>
      <c r="Z13" s="52"/>
    </row>
    <row r="14" ht="14.25" spans="1:26">
      <c r="A14" s="61" t="s">
        <v>173</v>
      </c>
      <c r="B14" s="61"/>
      <c r="C14" s="61"/>
      <c r="D14" s="77" t="s">
        <v>174</v>
      </c>
      <c r="E14" s="78"/>
      <c r="F14" s="78"/>
      <c r="G14" s="78"/>
      <c r="H14" s="78"/>
      <c r="I14" s="78"/>
      <c r="J14" s="78"/>
      <c r="K14" s="78"/>
      <c r="L14" s="78"/>
      <c r="M14" s="79"/>
      <c r="N14" s="52" t="s">
        <v>129</v>
      </c>
      <c r="O14" s="52"/>
      <c r="P14" s="52"/>
      <c r="Q14" s="52" t="s">
        <v>175</v>
      </c>
      <c r="R14" s="52"/>
      <c r="S14" s="52" t="s">
        <v>176</v>
      </c>
      <c r="T14" s="52"/>
      <c r="U14" s="52"/>
      <c r="V14" s="52"/>
      <c r="W14" s="52" t="s">
        <v>131</v>
      </c>
      <c r="X14" s="52"/>
      <c r="Y14" s="52"/>
      <c r="Z14" s="52"/>
    </row>
    <row r="15" ht="20" customHeight="1" spans="1:26">
      <c r="A15" s="52">
        <f>报关草单!A13</f>
        <v>1</v>
      </c>
      <c r="B15" s="52"/>
      <c r="C15" s="52"/>
      <c r="D15" s="80" t="str">
        <f>+合同!A21</f>
        <v>黑色柳叶橡胶垫3MM厚度 1*1.5米</v>
      </c>
      <c r="E15" s="80"/>
      <c r="F15" s="80"/>
      <c r="G15" s="80"/>
      <c r="H15" s="80"/>
      <c r="I15" s="80"/>
      <c r="J15" s="80"/>
      <c r="K15" s="80"/>
      <c r="L15" s="80"/>
      <c r="M15" s="80"/>
      <c r="N15" s="71">
        <v>3</v>
      </c>
      <c r="O15" s="71"/>
      <c r="P15" s="71"/>
      <c r="Q15" s="81" t="s">
        <v>70</v>
      </c>
      <c r="R15" s="81"/>
      <c r="S15" s="52">
        <f>+合同!R21</f>
        <v>6.58337</v>
      </c>
      <c r="T15" s="52"/>
      <c r="U15" s="52"/>
      <c r="V15" s="52"/>
      <c r="W15" s="52">
        <f>+合同!W21</f>
        <v>19.75011</v>
      </c>
      <c r="X15" s="52"/>
      <c r="Y15" s="52"/>
      <c r="Z15" s="52"/>
    </row>
    <row r="16" ht="21" customHeight="1" spans="1:26">
      <c r="A16" s="52">
        <f>报关草单!A14</f>
        <v>2</v>
      </c>
      <c r="B16" s="52"/>
      <c r="C16" s="52"/>
      <c r="D16" s="80" t="str">
        <f>+合同!A22</f>
        <v>透明掺黄色（20%）干燥剂 吸水后变绿色 50g 16包装</v>
      </c>
      <c r="E16" s="80"/>
      <c r="F16" s="80"/>
      <c r="G16" s="80"/>
      <c r="H16" s="80"/>
      <c r="I16" s="80"/>
      <c r="J16" s="80"/>
      <c r="K16" s="80"/>
      <c r="L16" s="80"/>
      <c r="M16" s="80"/>
      <c r="N16" s="71">
        <v>20</v>
      </c>
      <c r="O16" s="71">
        <v>40</v>
      </c>
      <c r="P16" s="71">
        <v>40</v>
      </c>
      <c r="Q16" s="81" t="s">
        <v>90</v>
      </c>
      <c r="R16" s="81"/>
      <c r="S16" s="52">
        <f>+合同!R22</f>
        <v>2.24</v>
      </c>
      <c r="T16" s="52"/>
      <c r="U16" s="52"/>
      <c r="V16" s="52"/>
      <c r="W16" s="52">
        <f t="shared" ref="W15:W22" si="0">S16*N16</f>
        <v>44.8</v>
      </c>
      <c r="X16" s="52"/>
      <c r="Y16" s="52"/>
      <c r="Z16" s="52"/>
    </row>
    <row r="17" ht="21" customHeight="1" spans="1:26">
      <c r="A17" s="52">
        <f>报关草单!A15</f>
        <v>3</v>
      </c>
      <c r="B17" s="52"/>
      <c r="C17" s="52"/>
      <c r="D17" s="80" t="str">
        <f>+合同!A23</f>
        <v>过滤棉家纺棉170g 0.68m*2m*15mm</v>
      </c>
      <c r="E17" s="80"/>
      <c r="F17" s="80"/>
      <c r="G17" s="80"/>
      <c r="H17" s="80"/>
      <c r="I17" s="80"/>
      <c r="J17" s="80"/>
      <c r="K17" s="80"/>
      <c r="L17" s="80"/>
      <c r="M17" s="80"/>
      <c r="N17" s="71">
        <v>30</v>
      </c>
      <c r="O17" s="71">
        <v>41</v>
      </c>
      <c r="P17" s="71">
        <v>41</v>
      </c>
      <c r="Q17" s="81" t="s">
        <v>70</v>
      </c>
      <c r="R17" s="81"/>
      <c r="S17" s="52">
        <f>+合同!R23</f>
        <v>2.06088</v>
      </c>
      <c r="T17" s="52"/>
      <c r="U17" s="52"/>
      <c r="V17" s="52"/>
      <c r="W17" s="62">
        <f t="shared" si="0"/>
        <v>61.8264</v>
      </c>
      <c r="X17" s="62"/>
      <c r="Y17" s="62"/>
      <c r="Z17" s="62"/>
    </row>
    <row r="18" ht="21" customHeight="1" spans="1:26">
      <c r="A18" s="52">
        <f>报关草单!A16</f>
        <v>4</v>
      </c>
      <c r="B18" s="52"/>
      <c r="C18" s="52"/>
      <c r="D18" s="80" t="str">
        <f>+合同!A24</f>
        <v>颗粒棉 1KG 尺寸37*25*10</v>
      </c>
      <c r="E18" s="80"/>
      <c r="F18" s="80"/>
      <c r="G18" s="80"/>
      <c r="H18" s="80"/>
      <c r="I18" s="80"/>
      <c r="J18" s="80"/>
      <c r="K18" s="80"/>
      <c r="L18" s="80"/>
      <c r="M18" s="80"/>
      <c r="N18" s="71">
        <v>58</v>
      </c>
      <c r="O18" s="71">
        <v>103</v>
      </c>
      <c r="P18" s="71">
        <v>103</v>
      </c>
      <c r="Q18" s="81" t="s">
        <v>70</v>
      </c>
      <c r="R18" s="81"/>
      <c r="S18" s="52">
        <f>+合同!R24</f>
        <v>3.8379</v>
      </c>
      <c r="T18" s="52"/>
      <c r="U18" s="52"/>
      <c r="V18" s="52"/>
      <c r="W18" s="52">
        <f t="shared" si="0"/>
        <v>222.5982</v>
      </c>
      <c r="X18" s="52"/>
      <c r="Y18" s="52"/>
      <c r="Z18" s="52"/>
    </row>
    <row r="19" ht="21" customHeight="1" spans="1:26">
      <c r="A19" s="52">
        <f>报关草单!A17</f>
        <v>5</v>
      </c>
      <c r="B19" s="52"/>
      <c r="C19" s="52"/>
      <c r="D19" s="80" t="str">
        <f>+合同!A25</f>
        <v>隔音棉
5MM 5米*40CM</v>
      </c>
      <c r="E19" s="80"/>
      <c r="F19" s="80"/>
      <c r="G19" s="80"/>
      <c r="H19" s="80"/>
      <c r="I19" s="80"/>
      <c r="J19" s="80"/>
      <c r="K19" s="80"/>
      <c r="L19" s="80"/>
      <c r="M19" s="80"/>
      <c r="N19" s="71">
        <v>22</v>
      </c>
      <c r="O19" s="71">
        <v>30</v>
      </c>
      <c r="P19" s="71">
        <v>30</v>
      </c>
      <c r="Q19" s="81" t="s">
        <v>70</v>
      </c>
      <c r="R19" s="81"/>
      <c r="S19" s="52">
        <f>+合同!R25</f>
        <v>7.17</v>
      </c>
      <c r="T19" s="52"/>
      <c r="U19" s="52"/>
      <c r="V19" s="52"/>
      <c r="W19" s="52">
        <f t="shared" si="0"/>
        <v>157.74</v>
      </c>
      <c r="X19" s="52"/>
      <c r="Y19" s="52"/>
      <c r="Z19" s="52"/>
    </row>
    <row r="20" ht="21" customHeight="1" spans="1:26">
      <c r="A20" s="52">
        <f>报关草单!A18</f>
        <v>6</v>
      </c>
      <c r="B20" s="52"/>
      <c r="C20" s="52"/>
      <c r="D20" s="80" t="str">
        <f>+合同!A26</f>
        <v>桶装2KG 纯黄色干燥剂</v>
      </c>
      <c r="E20" s="80"/>
      <c r="F20" s="80"/>
      <c r="G20" s="80"/>
      <c r="H20" s="80"/>
      <c r="I20" s="80"/>
      <c r="J20" s="80"/>
      <c r="K20" s="80"/>
      <c r="L20" s="80"/>
      <c r="M20" s="80"/>
      <c r="N20" s="71">
        <v>31</v>
      </c>
      <c r="O20" s="71">
        <v>40</v>
      </c>
      <c r="P20" s="71">
        <v>40</v>
      </c>
      <c r="Q20" s="81" t="s">
        <v>70</v>
      </c>
      <c r="R20" s="81"/>
      <c r="S20" s="52">
        <f>+合同!R26</f>
        <v>8.159</v>
      </c>
      <c r="T20" s="52"/>
      <c r="U20" s="52"/>
      <c r="V20" s="52"/>
      <c r="W20" s="52">
        <f t="shared" si="0"/>
        <v>252.929</v>
      </c>
      <c r="X20" s="52"/>
      <c r="Y20" s="52"/>
      <c r="Z20" s="52"/>
    </row>
    <row r="21" ht="21" customHeight="1" spans="1:26">
      <c r="A21" s="52">
        <f>报关草单!A19</f>
        <v>7</v>
      </c>
      <c r="B21" s="52"/>
      <c r="C21" s="52"/>
      <c r="D21" s="80" t="str">
        <f>+合同!A27</f>
        <v>桶装1KG 纯黄色干燥剂</v>
      </c>
      <c r="E21" s="80"/>
      <c r="F21" s="80"/>
      <c r="G21" s="80"/>
      <c r="H21" s="80"/>
      <c r="I21" s="80"/>
      <c r="J21" s="80"/>
      <c r="K21" s="80"/>
      <c r="L21" s="80"/>
      <c r="M21" s="80"/>
      <c r="N21" s="71">
        <v>10</v>
      </c>
      <c r="O21" s="71">
        <v>27</v>
      </c>
      <c r="P21" s="71">
        <v>27</v>
      </c>
      <c r="Q21" s="81" t="s">
        <v>134</v>
      </c>
      <c r="R21" s="81"/>
      <c r="S21" s="52">
        <f>+合同!R27</f>
        <v>3.525</v>
      </c>
      <c r="T21" s="52"/>
      <c r="U21" s="52"/>
      <c r="V21" s="52"/>
      <c r="W21" s="52">
        <f t="shared" si="0"/>
        <v>35.25</v>
      </c>
      <c r="X21" s="52"/>
      <c r="Y21" s="52"/>
      <c r="Z21" s="52"/>
    </row>
    <row r="22" ht="21" customHeight="1" spans="1:26">
      <c r="A22" s="52">
        <f>报关草单!A20</f>
        <v>8</v>
      </c>
      <c r="B22" s="52"/>
      <c r="C22" s="52"/>
      <c r="D22" s="80" t="str">
        <f>+合同!A28</f>
        <v>屋顶杆天窗开窗器管径2CM5节1.86M黑色</v>
      </c>
      <c r="E22" s="80"/>
      <c r="F22" s="80"/>
      <c r="G22" s="80"/>
      <c r="H22" s="80"/>
      <c r="I22" s="80"/>
      <c r="J22" s="80"/>
      <c r="K22" s="80"/>
      <c r="L22" s="80"/>
      <c r="M22" s="80"/>
      <c r="N22" s="52">
        <v>52</v>
      </c>
      <c r="O22" s="52"/>
      <c r="P22" s="52"/>
      <c r="Q22" s="52" t="s">
        <v>177</v>
      </c>
      <c r="R22" s="52"/>
      <c r="S22" s="52">
        <f>+合同!R28</f>
        <v>5.14</v>
      </c>
      <c r="T22" s="52"/>
      <c r="U22" s="52"/>
      <c r="V22" s="52"/>
      <c r="W22" s="52">
        <f t="shared" si="0"/>
        <v>267.28</v>
      </c>
      <c r="X22" s="52"/>
      <c r="Y22" s="52"/>
      <c r="Z22" s="52"/>
    </row>
    <row r="23" ht="33" customHeight="1" spans="1:26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>
        <f>SUM(N15:N22)</f>
        <v>226</v>
      </c>
      <c r="O23" s="52"/>
      <c r="P23" s="52"/>
      <c r="Q23" s="52"/>
      <c r="R23" s="52"/>
      <c r="S23" s="82" t="str">
        <f>[1]报关资料录入!U50</f>
        <v>总合计:</v>
      </c>
      <c r="T23" s="82"/>
      <c r="U23" s="82"/>
      <c r="V23" s="82"/>
      <c r="W23" s="62">
        <f>SUM(W15:W22)</f>
        <v>1062.17371</v>
      </c>
      <c r="X23" s="62"/>
      <c r="Y23" s="62"/>
      <c r="Z23" s="62"/>
    </row>
    <row r="24" ht="14.25" spans="1:26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4.25" spans="1:26">
      <c r="A25" s="44"/>
      <c r="B25" s="44" t="s">
        <v>178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4.25" spans="1:26">
      <c r="A26" s="44"/>
      <c r="B26" s="44" t="s">
        <v>179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</sheetData>
  <mergeCells count="94">
    <mergeCell ref="A7:Q7"/>
    <mergeCell ref="R7:S7"/>
    <mergeCell ref="T7:Z7"/>
    <mergeCell ref="A8:Q8"/>
    <mergeCell ref="R8:S8"/>
    <mergeCell ref="T8:Z8"/>
    <mergeCell ref="A9:E9"/>
    <mergeCell ref="F9:Q9"/>
    <mergeCell ref="R9:S9"/>
    <mergeCell ref="T9:Z9"/>
    <mergeCell ref="A10:E10"/>
    <mergeCell ref="F10:Q10"/>
    <mergeCell ref="R10:S10"/>
    <mergeCell ref="T10:Z10"/>
    <mergeCell ref="A11:Z11"/>
    <mergeCell ref="A12:Z12"/>
    <mergeCell ref="A13:C13"/>
    <mergeCell ref="D13:M13"/>
    <mergeCell ref="N13:P13"/>
    <mergeCell ref="Q13:R13"/>
    <mergeCell ref="S13:V13"/>
    <mergeCell ref="W13:Z13"/>
    <mergeCell ref="A14:C14"/>
    <mergeCell ref="D14:M14"/>
    <mergeCell ref="N14:P14"/>
    <mergeCell ref="Q14:R14"/>
    <mergeCell ref="S14:V14"/>
    <mergeCell ref="W14:Z14"/>
    <mergeCell ref="A15:C15"/>
    <mergeCell ref="D15:M15"/>
    <mergeCell ref="N15:P15"/>
    <mergeCell ref="Q15:R15"/>
    <mergeCell ref="S15:V15"/>
    <mergeCell ref="W15:Z15"/>
    <mergeCell ref="A16:C16"/>
    <mergeCell ref="D16:M16"/>
    <mergeCell ref="N16:P16"/>
    <mergeCell ref="Q16:R16"/>
    <mergeCell ref="S16:V16"/>
    <mergeCell ref="W16:Z16"/>
    <mergeCell ref="A17:C17"/>
    <mergeCell ref="D17:M17"/>
    <mergeCell ref="N17:P17"/>
    <mergeCell ref="Q17:R17"/>
    <mergeCell ref="S17:V17"/>
    <mergeCell ref="W17:Z17"/>
    <mergeCell ref="A18:C18"/>
    <mergeCell ref="D18:M18"/>
    <mergeCell ref="N18:P18"/>
    <mergeCell ref="Q18:R18"/>
    <mergeCell ref="S18:V18"/>
    <mergeCell ref="W18:Z18"/>
    <mergeCell ref="A19:C19"/>
    <mergeCell ref="D19:M19"/>
    <mergeCell ref="N19:P19"/>
    <mergeCell ref="Q19:R19"/>
    <mergeCell ref="S19:V19"/>
    <mergeCell ref="W19:Z19"/>
    <mergeCell ref="A20:C20"/>
    <mergeCell ref="D20:M20"/>
    <mergeCell ref="N20:P20"/>
    <mergeCell ref="Q20:R20"/>
    <mergeCell ref="S20:V20"/>
    <mergeCell ref="W20:Z20"/>
    <mergeCell ref="A21:C21"/>
    <mergeCell ref="D21:M21"/>
    <mergeCell ref="N21:P21"/>
    <mergeCell ref="Q21:R21"/>
    <mergeCell ref="S21:V21"/>
    <mergeCell ref="W21:Z21"/>
    <mergeCell ref="A22:C22"/>
    <mergeCell ref="D22:M22"/>
    <mergeCell ref="N22:P22"/>
    <mergeCell ref="Q22:R22"/>
    <mergeCell ref="S22:V22"/>
    <mergeCell ref="W22:Z22"/>
    <mergeCell ref="A23:C23"/>
    <mergeCell ref="D23:M23"/>
    <mergeCell ref="N23:P23"/>
    <mergeCell ref="Q23:R23"/>
    <mergeCell ref="S23:V23"/>
    <mergeCell ref="W23:Z23"/>
    <mergeCell ref="A24:Z24"/>
    <mergeCell ref="B25:D25"/>
    <mergeCell ref="E25:Z25"/>
    <mergeCell ref="B26:D26"/>
    <mergeCell ref="E26:Z26"/>
    <mergeCell ref="A27:Z27"/>
    <mergeCell ref="A28:Z28"/>
    <mergeCell ref="A29:Z29"/>
    <mergeCell ref="A30:Z30"/>
    <mergeCell ref="A31:Z31"/>
    <mergeCell ref="A32:Z32"/>
    <mergeCell ref="A1:Z6"/>
  </mergeCells>
  <pageMargins left="0.7" right="0.7" top="0.75" bottom="0.75" header="0.3" footer="0.3"/>
  <pageSetup paperSize="9" scale="1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89"/>
  <sheetViews>
    <sheetView topLeftCell="A12" workbookViewId="0">
      <selection activeCell="P12" sqref="P12"/>
    </sheetView>
  </sheetViews>
  <sheetFormatPr defaultColWidth="3.75" defaultRowHeight="13.5"/>
  <cols>
    <col min="1" max="17" width="3.75" customWidth="1"/>
    <col min="18" max="18" width="4.88333333333333" customWidth="1"/>
    <col min="19" max="16384" width="3.75" customWidth="1"/>
  </cols>
  <sheetData>
    <row r="1" ht="20" customHeight="1" spans="1:27">
      <c r="A1" s="41" t="s">
        <v>180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43"/>
      <c r="U1" s="43"/>
      <c r="V1" s="43"/>
      <c r="W1" s="43"/>
      <c r="X1" s="43"/>
      <c r="Y1" s="43"/>
      <c r="Z1" s="43"/>
      <c r="AA1" s="43"/>
    </row>
    <row r="2" ht="19" customHeight="1" spans="1:2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4" t="s">
        <v>181</v>
      </c>
      <c r="T2" s="44"/>
      <c r="U2" s="44"/>
      <c r="V2" s="45">
        <f>报关草单!N3</f>
        <v>46212</v>
      </c>
      <c r="W2" s="45"/>
      <c r="X2" s="45"/>
      <c r="Y2" s="45"/>
      <c r="Z2" s="45"/>
      <c r="AA2" s="45"/>
    </row>
    <row r="3" ht="17" customHeight="1" spans="1:27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4" t="s">
        <v>182</v>
      </c>
      <c r="T3" s="44"/>
      <c r="U3" s="44"/>
      <c r="V3" s="44"/>
      <c r="W3" s="44"/>
      <c r="X3" s="44"/>
      <c r="Y3" s="44"/>
      <c r="Z3" s="44"/>
      <c r="AA3" s="44"/>
    </row>
    <row r="4" ht="21" customHeight="1" spans="1:27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4" t="s">
        <v>183</v>
      </c>
      <c r="T4" s="44"/>
      <c r="U4" s="44"/>
      <c r="V4" s="44"/>
      <c r="W4" s="44"/>
      <c r="X4" s="44"/>
      <c r="Y4" s="44"/>
      <c r="Z4" s="44"/>
      <c r="AA4" s="44"/>
    </row>
    <row r="5" ht="19" customHeight="1" spans="1:27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4" t="s">
        <v>184</v>
      </c>
      <c r="T5" s="44"/>
      <c r="U5" s="44"/>
      <c r="V5" s="44"/>
      <c r="W5" s="44"/>
      <c r="X5" s="44"/>
      <c r="Y5" s="44"/>
      <c r="Z5" s="44"/>
      <c r="AA5" s="44"/>
    </row>
    <row r="6" ht="14.25" spans="1:27">
      <c r="A6" s="44" t="s">
        <v>99</v>
      </c>
      <c r="B6" s="44"/>
      <c r="C6" s="44"/>
      <c r="D6" s="44" t="str">
        <f>报关草单!C3</f>
        <v>深圳市亿莱沃实业有限公司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 t="s">
        <v>185</v>
      </c>
      <c r="T6" s="44"/>
      <c r="U6" s="44"/>
      <c r="V6" s="44" t="str">
        <f>报关草单!C6</f>
        <v>YLW-20260709001</v>
      </c>
      <c r="W6" s="44"/>
      <c r="X6" s="44"/>
      <c r="Y6" s="44"/>
      <c r="Z6" s="44"/>
      <c r="AA6" s="44"/>
    </row>
    <row r="7" ht="15.75" spans="1:27">
      <c r="A7" s="46" t="s">
        <v>186</v>
      </c>
      <c r="B7" s="46"/>
      <c r="C7" s="46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 t="s">
        <v>187</v>
      </c>
      <c r="T7" s="44"/>
      <c r="U7" s="44"/>
      <c r="V7" s="44"/>
      <c r="W7" s="47"/>
      <c r="X7" s="47"/>
      <c r="Y7" s="47"/>
      <c r="Z7" s="47"/>
      <c r="AA7" s="47"/>
    </row>
    <row r="8" ht="14.25" spans="1:27">
      <c r="A8" s="44" t="s">
        <v>188</v>
      </c>
      <c r="B8" s="44"/>
      <c r="C8" s="44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4" t="s">
        <v>189</v>
      </c>
      <c r="T8" s="44"/>
      <c r="U8" s="44"/>
      <c r="V8" s="44"/>
      <c r="W8" s="44"/>
      <c r="X8" s="44"/>
      <c r="Y8" s="44"/>
      <c r="Z8" s="44"/>
      <c r="AA8" s="44"/>
    </row>
    <row r="9" ht="21" customHeight="1" spans="1:27">
      <c r="A9" s="49" t="s">
        <v>190</v>
      </c>
      <c r="B9" s="49"/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44" t="s">
        <v>191</v>
      </c>
      <c r="T9" s="44"/>
      <c r="U9" s="44"/>
      <c r="V9" s="44"/>
      <c r="W9" s="44"/>
      <c r="X9" s="47"/>
      <c r="Y9" s="47"/>
      <c r="Z9" s="47"/>
      <c r="AA9" s="47"/>
    </row>
    <row r="10" ht="14.25" spans="1:27">
      <c r="A10" s="51" t="s">
        <v>192</v>
      </c>
      <c r="B10" s="51"/>
      <c r="C10" s="52" t="s">
        <v>193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3" t="s">
        <v>194</v>
      </c>
      <c r="O10" s="54"/>
      <c r="P10" s="52"/>
      <c r="Q10" s="52" t="s">
        <v>195</v>
      </c>
      <c r="R10" s="52"/>
      <c r="S10" s="52"/>
      <c r="T10" s="52"/>
      <c r="U10" s="52" t="s">
        <v>196</v>
      </c>
      <c r="V10" s="52"/>
      <c r="W10" s="52"/>
      <c r="X10" s="55" t="s">
        <v>197</v>
      </c>
      <c r="Y10" s="52"/>
      <c r="Z10" s="52"/>
      <c r="AA10" s="52"/>
    </row>
    <row r="11" ht="15.75" spans="1:27">
      <c r="A11" s="56" t="s">
        <v>198</v>
      </c>
      <c r="B11" s="56"/>
      <c r="C11" s="52" t="s">
        <v>199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7" t="s">
        <v>200</v>
      </c>
      <c r="O11" s="54"/>
      <c r="P11" s="52"/>
      <c r="Q11" s="52" t="s">
        <v>201</v>
      </c>
      <c r="R11" s="52"/>
      <c r="S11" s="52"/>
      <c r="T11" s="52"/>
      <c r="U11" s="52" t="s">
        <v>202</v>
      </c>
      <c r="V11" s="52"/>
      <c r="W11" s="52"/>
      <c r="X11" s="55" t="s">
        <v>203</v>
      </c>
      <c r="Y11" s="52"/>
      <c r="Z11" s="52"/>
      <c r="AA11" s="52"/>
    </row>
    <row r="12" ht="30" customHeight="1" spans="1:27">
      <c r="A12" s="52">
        <f>报关草单!A13</f>
        <v>1</v>
      </c>
      <c r="B12" s="52"/>
      <c r="C12" s="58" t="str">
        <f>报关草单!E13</f>
        <v>隔音棉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9">
        <f>报关草单!AA13</f>
        <v>1</v>
      </c>
      <c r="O12" s="59"/>
      <c r="P12" s="60"/>
      <c r="Q12" s="52">
        <f>报关草单!K13</f>
        <v>4</v>
      </c>
      <c r="R12" s="52"/>
      <c r="S12" s="61" t="str">
        <f>报关草单!L13</f>
        <v>个</v>
      </c>
      <c r="T12" s="61"/>
      <c r="U12" s="62">
        <f>报关草单!Z13</f>
        <v>17</v>
      </c>
      <c r="V12" s="62"/>
      <c r="W12" s="62"/>
      <c r="X12" s="62">
        <f>1.35*4</f>
        <v>5.4</v>
      </c>
      <c r="Y12" s="62"/>
      <c r="Z12" s="62"/>
      <c r="AA12" s="62"/>
    </row>
    <row r="13" ht="27" customHeight="1" spans="1:27">
      <c r="A13" s="52">
        <f>报关草单!A14</f>
        <v>2</v>
      </c>
      <c r="B13" s="52"/>
      <c r="C13" s="58" t="str">
        <f>报关草单!E14</f>
        <v>橡胶垫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63">
        <f>报关草单!AA14</f>
        <v>0</v>
      </c>
      <c r="O13" s="63"/>
      <c r="P13" s="64"/>
      <c r="Q13" s="52">
        <f>报关草单!K14</f>
        <v>1</v>
      </c>
      <c r="R13" s="52"/>
      <c r="S13" s="61" t="str">
        <f>报关草单!L14</f>
        <v>个</v>
      </c>
      <c r="T13" s="61"/>
      <c r="U13" s="62">
        <f>报关草单!Z14</f>
        <v>0</v>
      </c>
      <c r="V13" s="62"/>
      <c r="W13" s="62"/>
      <c r="X13" s="62">
        <f>报关草单!M14</f>
        <v>5.005</v>
      </c>
      <c r="Y13" s="62"/>
      <c r="Z13" s="62"/>
      <c r="AA13" s="62"/>
    </row>
    <row r="14" ht="27" customHeight="1" spans="1:27">
      <c r="A14" s="52">
        <f>报关草单!A15</f>
        <v>3</v>
      </c>
      <c r="B14" s="52"/>
      <c r="C14" s="58" t="str">
        <f>报关草单!E15</f>
        <v>硅胶干燥剂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63">
        <f>报关草单!AA15</f>
        <v>0</v>
      </c>
      <c r="O14" s="63"/>
      <c r="P14" s="64"/>
      <c r="Q14" s="52">
        <f>报关草单!K15</f>
        <v>2</v>
      </c>
      <c r="R14" s="52"/>
      <c r="S14" s="61" t="str">
        <f>报关草单!L15</f>
        <v>个</v>
      </c>
      <c r="T14" s="61"/>
      <c r="U14" s="62">
        <f>报关草单!Z15</f>
        <v>0</v>
      </c>
      <c r="V14" s="62"/>
      <c r="W14" s="62"/>
      <c r="X14" s="62">
        <f>报关草单!M15</f>
        <v>4</v>
      </c>
      <c r="Y14" s="62"/>
      <c r="Z14" s="62"/>
      <c r="AA14" s="62"/>
    </row>
    <row r="15" ht="27" customHeight="1" spans="1:27">
      <c r="A15" s="52">
        <f>报关草单!A16</f>
        <v>4</v>
      </c>
      <c r="B15" s="52"/>
      <c r="C15" s="58" t="str">
        <f>报关草单!E16</f>
        <v>隔音棉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63">
        <f>报关草单!AA16</f>
        <v>2</v>
      </c>
      <c r="O15" s="63"/>
      <c r="P15" s="64"/>
      <c r="Q15" s="52">
        <f>报关草单!K16</f>
        <v>4</v>
      </c>
      <c r="R15" s="52"/>
      <c r="S15" s="61" t="str">
        <f>报关草单!L16</f>
        <v>个</v>
      </c>
      <c r="T15" s="61"/>
      <c r="U15" s="62">
        <f>报关草单!Z16</f>
        <v>18.2</v>
      </c>
      <c r="V15" s="62"/>
      <c r="W15" s="62"/>
      <c r="X15" s="62">
        <f>报关草单!M16</f>
        <v>5.4</v>
      </c>
      <c r="Y15" s="62"/>
      <c r="Z15" s="62"/>
      <c r="AA15" s="62"/>
    </row>
    <row r="16" ht="27" customHeight="1" spans="1:27">
      <c r="A16" s="52">
        <f>报关草单!A17</f>
        <v>5</v>
      </c>
      <c r="B16" s="52"/>
      <c r="C16" s="58" t="str">
        <f>报关草单!E17</f>
        <v>橡胶垫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65">
        <f>报关草单!AA17</f>
        <v>0</v>
      </c>
      <c r="O16" s="65"/>
      <c r="P16" s="66"/>
      <c r="Q16" s="52">
        <f>报关草单!K17</f>
        <v>1</v>
      </c>
      <c r="R16" s="52"/>
      <c r="S16" s="61" t="str">
        <f>报关草单!L17</f>
        <v>个</v>
      </c>
      <c r="T16" s="61"/>
      <c r="U16" s="62">
        <f>报关草单!Z17</f>
        <v>0</v>
      </c>
      <c r="V16" s="62"/>
      <c r="W16" s="62"/>
      <c r="X16" s="62">
        <f>报关草单!M17</f>
        <v>5.005</v>
      </c>
      <c r="Y16" s="62"/>
      <c r="Z16" s="62"/>
      <c r="AA16" s="62"/>
    </row>
    <row r="17" ht="27" customHeight="1" spans="1:27">
      <c r="A17" s="52">
        <f>报关草单!A18</f>
        <v>6</v>
      </c>
      <c r="B17" s="52"/>
      <c r="C17" s="58" t="str">
        <f>报关草单!E18</f>
        <v>硅胶干燥剂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67">
        <f>报关草单!AA18</f>
        <v>0</v>
      </c>
      <c r="O17" s="59"/>
      <c r="P17" s="60"/>
      <c r="Q17" s="52">
        <f>报关草单!K18</f>
        <v>2</v>
      </c>
      <c r="R17" s="52"/>
      <c r="S17" s="61" t="str">
        <f>报关草单!L18</f>
        <v>个</v>
      </c>
      <c r="T17" s="61"/>
      <c r="U17" s="62">
        <f>报关草单!Z18</f>
        <v>0</v>
      </c>
      <c r="V17" s="62"/>
      <c r="W17" s="62"/>
      <c r="X17" s="62">
        <f>报关草单!M18</f>
        <v>4</v>
      </c>
      <c r="Y17" s="62"/>
      <c r="Z17" s="62"/>
      <c r="AA17" s="62"/>
    </row>
    <row r="18" ht="27" customHeight="1" spans="1:27">
      <c r="A18" s="52">
        <f>报关草单!A19</f>
        <v>7</v>
      </c>
      <c r="B18" s="52"/>
      <c r="C18" s="58" t="str">
        <f>报关草单!E19</f>
        <v>隔音棉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67">
        <f>报关草单!AA19</f>
        <v>3</v>
      </c>
      <c r="O18" s="63"/>
      <c r="P18" s="64"/>
      <c r="Q18" s="52">
        <f>报关草单!K19</f>
        <v>4</v>
      </c>
      <c r="R18" s="52"/>
      <c r="S18" s="61" t="str">
        <f>报关草单!L19</f>
        <v>个</v>
      </c>
      <c r="T18" s="61"/>
      <c r="U18" s="62">
        <f>报关草单!Z19</f>
        <v>18</v>
      </c>
      <c r="V18" s="62"/>
      <c r="W18" s="62"/>
      <c r="X18" s="62">
        <f>报关草单!M19</f>
        <v>5.4</v>
      </c>
      <c r="Y18" s="62"/>
      <c r="Z18" s="62"/>
      <c r="AA18" s="62"/>
    </row>
    <row r="19" ht="27" customHeight="1" spans="1:27">
      <c r="A19" s="52">
        <f>报关草单!A20</f>
        <v>8</v>
      </c>
      <c r="B19" s="52"/>
      <c r="C19" s="58" t="str">
        <f>报关草单!E20</f>
        <v>橡胶垫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67">
        <f>报关草单!AA20</f>
        <v>0</v>
      </c>
      <c r="O19" s="63"/>
      <c r="P19" s="64"/>
      <c r="Q19" s="52">
        <f>报关草单!K20</f>
        <v>1</v>
      </c>
      <c r="R19" s="52"/>
      <c r="S19" s="61" t="str">
        <f>报关草单!L20</f>
        <v>个</v>
      </c>
      <c r="T19" s="61"/>
      <c r="U19" s="62">
        <f>报关草单!Z20</f>
        <v>0</v>
      </c>
      <c r="V19" s="62"/>
      <c r="W19" s="62"/>
      <c r="X19" s="62">
        <f>报关草单!M20</f>
        <v>5.005</v>
      </c>
      <c r="Y19" s="62"/>
      <c r="Z19" s="62"/>
      <c r="AA19" s="62"/>
    </row>
    <row r="20" ht="27" customHeight="1" spans="1:27">
      <c r="A20" s="52">
        <f>报关草单!A21</f>
        <v>9</v>
      </c>
      <c r="B20" s="52"/>
      <c r="C20" s="58" t="str">
        <f>报关草单!E21</f>
        <v>硅胶干燥剂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67">
        <f>报关草单!AA21</f>
        <v>0</v>
      </c>
      <c r="O20" s="63"/>
      <c r="P20" s="64"/>
      <c r="Q20" s="52">
        <f>报关草单!K21</f>
        <v>2</v>
      </c>
      <c r="R20" s="52"/>
      <c r="S20" s="61" t="str">
        <f>报关草单!L21</f>
        <v>个</v>
      </c>
      <c r="T20" s="61"/>
      <c r="U20" s="62">
        <f>报关草单!Z21</f>
        <v>0</v>
      </c>
      <c r="V20" s="62"/>
      <c r="W20" s="62"/>
      <c r="X20" s="62">
        <f>报关草单!M21</f>
        <v>4</v>
      </c>
      <c r="Y20" s="62"/>
      <c r="Z20" s="62"/>
      <c r="AA20" s="62"/>
    </row>
    <row r="21" ht="27" customHeight="1" spans="1:27">
      <c r="A21" s="52">
        <f>报关草单!A22</f>
        <v>10</v>
      </c>
      <c r="B21" s="52"/>
      <c r="C21" s="58" t="str">
        <f>报关草单!E22</f>
        <v>隔音棉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68">
        <f>报关草单!AA22</f>
        <v>4</v>
      </c>
      <c r="O21" s="65"/>
      <c r="P21" s="66"/>
      <c r="Q21" s="52">
        <f>报关草单!K22</f>
        <v>3</v>
      </c>
      <c r="R21" s="52"/>
      <c r="S21" s="61" t="str">
        <f>报关草单!L22</f>
        <v>个</v>
      </c>
      <c r="T21" s="61"/>
      <c r="U21" s="62">
        <f>报关草单!Z22</f>
        <v>15.3</v>
      </c>
      <c r="V21" s="62"/>
      <c r="W21" s="62"/>
      <c r="X21" s="62">
        <f>报关草单!M22</f>
        <v>4.05</v>
      </c>
      <c r="Y21" s="62"/>
      <c r="Z21" s="62"/>
      <c r="AA21" s="62"/>
    </row>
    <row r="22" ht="27" customHeight="1" spans="1:27">
      <c r="A22" s="52">
        <f>报关草单!A23</f>
        <v>11</v>
      </c>
      <c r="B22" s="52"/>
      <c r="C22" s="58" t="str">
        <f>报关草单!E23</f>
        <v>硅胶干燥剂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69">
        <f>报关草单!AA23</f>
        <v>0</v>
      </c>
      <c r="O22" s="59"/>
      <c r="P22" s="60"/>
      <c r="Q22" s="52">
        <f>报关草单!K23</f>
        <v>2</v>
      </c>
      <c r="R22" s="52"/>
      <c r="S22" s="61" t="str">
        <f>报关草单!L23</f>
        <v>个</v>
      </c>
      <c r="T22" s="61"/>
      <c r="U22" s="62">
        <f>报关草单!Z23</f>
        <v>0</v>
      </c>
      <c r="V22" s="62"/>
      <c r="W22" s="62"/>
      <c r="X22" s="62">
        <f>报关草单!M23</f>
        <v>4</v>
      </c>
      <c r="Y22" s="62"/>
      <c r="Z22" s="62"/>
      <c r="AA22" s="62"/>
    </row>
    <row r="23" ht="27" customHeight="1" spans="1:27">
      <c r="A23" s="52">
        <f>报关草单!A24</f>
        <v>12</v>
      </c>
      <c r="B23" s="52"/>
      <c r="C23" s="58" t="str">
        <f>报关草单!E24</f>
        <v>硅胶干燥剂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67">
        <f>报关草单!AA24</f>
        <v>0</v>
      </c>
      <c r="O23" s="63"/>
      <c r="P23" s="64"/>
      <c r="Q23" s="52">
        <f>报关草单!K24</f>
        <v>2</v>
      </c>
      <c r="R23" s="52"/>
      <c r="S23" s="61" t="str">
        <f>报关草单!L24</f>
        <v>个</v>
      </c>
      <c r="T23" s="61"/>
      <c r="U23" s="62">
        <f>报关草单!Z24</f>
        <v>0</v>
      </c>
      <c r="V23" s="62"/>
      <c r="W23" s="62"/>
      <c r="X23" s="62">
        <f>报关草单!M24</f>
        <v>2</v>
      </c>
      <c r="Y23" s="62"/>
      <c r="Z23" s="62"/>
      <c r="AA23" s="62"/>
    </row>
    <row r="24" ht="27" customHeight="1" spans="1:27">
      <c r="A24" s="52">
        <f>报关草单!A25</f>
        <v>13</v>
      </c>
      <c r="B24" s="52"/>
      <c r="C24" s="58" t="str">
        <f>报关草单!E25</f>
        <v>聚脂钎维填充物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67">
        <f>报关草单!AA25</f>
        <v>0</v>
      </c>
      <c r="O24" s="63"/>
      <c r="P24" s="64"/>
      <c r="Q24" s="52">
        <f>报关草单!K25</f>
        <v>3</v>
      </c>
      <c r="R24" s="52"/>
      <c r="S24" s="61" t="str">
        <f>报关草单!L25</f>
        <v>个</v>
      </c>
      <c r="T24" s="61"/>
      <c r="U24" s="62">
        <f>报关草单!Z25</f>
        <v>0</v>
      </c>
      <c r="V24" s="62"/>
      <c r="W24" s="62"/>
      <c r="X24" s="62">
        <f>报关草单!M25</f>
        <v>3</v>
      </c>
      <c r="Y24" s="62"/>
      <c r="Z24" s="62"/>
      <c r="AA24" s="62"/>
    </row>
    <row r="25" ht="27" customHeight="1" spans="1:27">
      <c r="A25" s="52">
        <f>报关草单!A26</f>
        <v>14</v>
      </c>
      <c r="B25" s="52"/>
      <c r="C25" s="58" t="str">
        <f>报关草单!E26</f>
        <v>隔音棉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67">
        <f>报关草单!AA26</f>
        <v>5</v>
      </c>
      <c r="O25" s="63"/>
      <c r="P25" s="64"/>
      <c r="Q25" s="52">
        <f>报关草单!K26</f>
        <v>2</v>
      </c>
      <c r="R25" s="52"/>
      <c r="S25" s="61" t="str">
        <f>报关草单!L26</f>
        <v>个</v>
      </c>
      <c r="T25" s="61"/>
      <c r="U25" s="62">
        <f>报关草单!Z26</f>
        <v>16.6</v>
      </c>
      <c r="V25" s="62"/>
      <c r="W25" s="62"/>
      <c r="X25" s="62">
        <f>报关草单!M26</f>
        <v>2.7</v>
      </c>
      <c r="Y25" s="62"/>
      <c r="Z25" s="62"/>
      <c r="AA25" s="62"/>
    </row>
    <row r="26" ht="27" customHeight="1" spans="1:27">
      <c r="A26" s="52">
        <f>报关草单!A27</f>
        <v>15</v>
      </c>
      <c r="B26" s="52"/>
      <c r="C26" s="58" t="str">
        <f>报关草单!E27</f>
        <v>硅胶干燥剂</v>
      </c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68">
        <f>报关草单!AA27</f>
        <v>0</v>
      </c>
      <c r="O26" s="65"/>
      <c r="P26" s="66"/>
      <c r="Q26" s="52">
        <f>报关草单!K27</f>
        <v>2</v>
      </c>
      <c r="R26" s="52"/>
      <c r="S26" s="61" t="str">
        <f>报关草单!L27</f>
        <v>包</v>
      </c>
      <c r="T26" s="61"/>
      <c r="U26" s="62">
        <f>报关草单!Z27</f>
        <v>0</v>
      </c>
      <c r="V26" s="62"/>
      <c r="W26" s="62"/>
      <c r="X26" s="62">
        <f>报关草单!M27</f>
        <v>1.6</v>
      </c>
      <c r="Y26" s="62"/>
      <c r="Z26" s="62"/>
      <c r="AA26" s="62"/>
    </row>
    <row r="27" customFormat="1" ht="27" customHeight="1" spans="1:27">
      <c r="A27" s="52">
        <f>报关草单!A28</f>
        <v>16</v>
      </c>
      <c r="B27" s="52"/>
      <c r="C27" s="58" t="str">
        <f>报关草单!E28</f>
        <v>硅胶干燥剂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69">
        <f>报关草单!AA28</f>
        <v>0</v>
      </c>
      <c r="O27" s="59"/>
      <c r="P27" s="60"/>
      <c r="Q27" s="52">
        <f>报关草单!K28</f>
        <v>2</v>
      </c>
      <c r="R27" s="52"/>
      <c r="S27" s="61" t="str">
        <f>报关草单!L28</f>
        <v>个</v>
      </c>
      <c r="T27" s="61"/>
      <c r="U27" s="62">
        <f>报关草单!Z28</f>
        <v>0</v>
      </c>
      <c r="V27" s="62"/>
      <c r="W27" s="62"/>
      <c r="X27" s="62">
        <f>报关草单!M28</f>
        <v>4</v>
      </c>
      <c r="Y27" s="62"/>
      <c r="Z27" s="62"/>
      <c r="AA27" s="62"/>
    </row>
    <row r="28" customFormat="1" ht="27" customHeight="1" spans="1:27">
      <c r="A28" s="52">
        <f>报关草单!A29</f>
        <v>17</v>
      </c>
      <c r="B28" s="52"/>
      <c r="C28" s="58" t="str">
        <f>报关草单!E29</f>
        <v>推拉杆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67">
        <f>报关草单!AA29</f>
        <v>0</v>
      </c>
      <c r="O28" s="63"/>
      <c r="P28" s="64"/>
      <c r="Q28" s="52">
        <f>报关草单!K29</f>
        <v>6</v>
      </c>
      <c r="R28" s="52"/>
      <c r="S28" s="61" t="str">
        <f>报关草单!L29</f>
        <v>个</v>
      </c>
      <c r="T28" s="61"/>
      <c r="U28" s="62">
        <f>报关草单!Z29</f>
        <v>0</v>
      </c>
      <c r="V28" s="62"/>
      <c r="W28" s="62"/>
      <c r="X28" s="62">
        <f>报关草单!M29</f>
        <v>3</v>
      </c>
      <c r="Y28" s="62"/>
      <c r="Z28" s="62"/>
      <c r="AA28" s="62"/>
    </row>
    <row r="29" customFormat="1" ht="27" customHeight="1" spans="1:27">
      <c r="A29" s="52">
        <f>报关草单!A30</f>
        <v>18</v>
      </c>
      <c r="B29" s="52"/>
      <c r="C29" s="58" t="str">
        <f>报关草单!E30</f>
        <v>聚脂钎维填充物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67">
        <f>报关草单!AA30</f>
        <v>0</v>
      </c>
      <c r="O29" s="63"/>
      <c r="P29" s="64"/>
      <c r="Q29" s="52">
        <f>报关草单!K30</f>
        <v>3</v>
      </c>
      <c r="R29" s="52"/>
      <c r="S29" s="61" t="str">
        <f>报关草单!L30</f>
        <v>个</v>
      </c>
      <c r="T29" s="61"/>
      <c r="U29" s="62">
        <f>报关草单!Z30</f>
        <v>0</v>
      </c>
      <c r="V29" s="62"/>
      <c r="W29" s="62"/>
      <c r="X29" s="62">
        <f>报关草单!M30</f>
        <v>3</v>
      </c>
      <c r="Y29" s="62"/>
      <c r="Z29" s="62"/>
      <c r="AA29" s="62"/>
    </row>
    <row r="30" customFormat="1" ht="27" customHeight="1" spans="1:27">
      <c r="A30" s="52">
        <f>报关草单!A31</f>
        <v>19</v>
      </c>
      <c r="B30" s="52"/>
      <c r="C30" s="58" t="str">
        <f>报关草单!E31</f>
        <v>隔音棉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67">
        <f>报关草单!AA31</f>
        <v>6</v>
      </c>
      <c r="O30" s="63"/>
      <c r="P30" s="64"/>
      <c r="Q30" s="52">
        <f>报关草单!K31</f>
        <v>3</v>
      </c>
      <c r="R30" s="52"/>
      <c r="S30" s="61" t="str">
        <f>报关草单!L31</f>
        <v>个</v>
      </c>
      <c r="T30" s="61"/>
      <c r="U30" s="62">
        <f>报关草单!Z31</f>
        <v>19</v>
      </c>
      <c r="V30" s="62"/>
      <c r="W30" s="62"/>
      <c r="X30" s="62">
        <f>报关草单!M31</f>
        <v>4.05</v>
      </c>
      <c r="Y30" s="62"/>
      <c r="Z30" s="62"/>
      <c r="AA30" s="62"/>
    </row>
    <row r="31" customFormat="1" ht="27" customHeight="1" spans="1:27">
      <c r="A31" s="52">
        <f>报关草单!A32</f>
        <v>20</v>
      </c>
      <c r="B31" s="52"/>
      <c r="C31" s="58" t="str">
        <f>报关草单!E32</f>
        <v>硅胶干燥剂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68">
        <f>报关草单!AA32</f>
        <v>0</v>
      </c>
      <c r="O31" s="65"/>
      <c r="P31" s="66"/>
      <c r="Q31" s="52">
        <f>报关草单!K32</f>
        <v>2</v>
      </c>
      <c r="R31" s="52"/>
      <c r="S31" s="61" t="str">
        <f>报关草单!L32</f>
        <v>包</v>
      </c>
      <c r="T31" s="61"/>
      <c r="U31" s="62">
        <f>报关草单!Z32</f>
        <v>0</v>
      </c>
      <c r="V31" s="62"/>
      <c r="W31" s="62"/>
      <c r="X31" s="62">
        <f>报关草单!M32</f>
        <v>1.6</v>
      </c>
      <c r="Y31" s="62"/>
      <c r="Z31" s="62"/>
      <c r="AA31" s="62"/>
    </row>
    <row r="32" customFormat="1" ht="27" customHeight="1" spans="1:27">
      <c r="A32" s="52">
        <f>报关草单!A33</f>
        <v>21</v>
      </c>
      <c r="B32" s="52"/>
      <c r="C32" s="58" t="str">
        <f>报关草单!E33</f>
        <v>硅胶干燥剂</v>
      </c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69">
        <f>报关草单!AA33</f>
        <v>0</v>
      </c>
      <c r="O32" s="59"/>
      <c r="P32" s="60"/>
      <c r="Q32" s="52">
        <f>报关草单!K33</f>
        <v>4</v>
      </c>
      <c r="R32" s="52"/>
      <c r="S32" s="61" t="str">
        <f>报关草单!L33</f>
        <v>个</v>
      </c>
      <c r="T32" s="61"/>
      <c r="U32" s="62">
        <f>报关草单!Z33</f>
        <v>0</v>
      </c>
      <c r="V32" s="62"/>
      <c r="W32" s="62"/>
      <c r="X32" s="62">
        <f>报关草单!M33</f>
        <v>8</v>
      </c>
      <c r="Y32" s="62"/>
      <c r="Z32" s="62"/>
      <c r="AA32" s="62"/>
    </row>
    <row r="33" customFormat="1" ht="27" customHeight="1" spans="1:27">
      <c r="A33" s="52">
        <f>报关草单!A34</f>
        <v>22</v>
      </c>
      <c r="B33" s="52"/>
      <c r="C33" s="58" t="str">
        <f>报关草单!E34</f>
        <v>聚脂钎维填充物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67">
        <f>报关草单!AA34</f>
        <v>0</v>
      </c>
      <c r="O33" s="63"/>
      <c r="P33" s="64"/>
      <c r="Q33" s="52">
        <f>报关草单!K34</f>
        <v>5</v>
      </c>
      <c r="R33" s="52"/>
      <c r="S33" s="61" t="str">
        <f>报关草单!L34</f>
        <v>个</v>
      </c>
      <c r="T33" s="61"/>
      <c r="U33" s="62">
        <f>报关草单!Z34</f>
        <v>0</v>
      </c>
      <c r="V33" s="62"/>
      <c r="W33" s="62"/>
      <c r="X33" s="62">
        <f>报关草单!M34</f>
        <v>1.35</v>
      </c>
      <c r="Y33" s="62"/>
      <c r="Z33" s="62"/>
      <c r="AA33" s="62"/>
    </row>
    <row r="34" customFormat="1" ht="27" customHeight="1" spans="1:27">
      <c r="A34" s="52">
        <f>报关草单!A35</f>
        <v>23</v>
      </c>
      <c r="B34" s="52"/>
      <c r="C34" s="58" t="str">
        <f>报关草单!E35</f>
        <v>聚脂钎维填充物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67">
        <f>报关草单!AA35</f>
        <v>0</v>
      </c>
      <c r="O34" s="63"/>
      <c r="P34" s="64"/>
      <c r="Q34" s="52">
        <f>报关草单!K35</f>
        <v>1</v>
      </c>
      <c r="R34" s="52"/>
      <c r="S34" s="61" t="str">
        <f>报关草单!L35</f>
        <v>个</v>
      </c>
      <c r="T34" s="61"/>
      <c r="U34" s="62">
        <f>报关草单!Z35</f>
        <v>0</v>
      </c>
      <c r="V34" s="62"/>
      <c r="W34" s="62"/>
      <c r="X34" s="62">
        <f>报关草单!M35</f>
        <v>1</v>
      </c>
      <c r="Y34" s="62"/>
      <c r="Z34" s="62"/>
      <c r="AA34" s="62"/>
    </row>
    <row r="35" customFormat="1" ht="27" customHeight="1" spans="1:27">
      <c r="A35" s="52">
        <f>报关草单!A36</f>
        <v>24</v>
      </c>
      <c r="B35" s="52"/>
      <c r="C35" s="58" t="str">
        <f>报关草单!E36</f>
        <v>硅胶干燥剂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67">
        <f>报关草单!AA36</f>
        <v>7</v>
      </c>
      <c r="O35" s="63"/>
      <c r="P35" s="64"/>
      <c r="Q35" s="52">
        <f>报关草单!K36</f>
        <v>2</v>
      </c>
      <c r="R35" s="52"/>
      <c r="S35" s="61" t="str">
        <f>报关草单!L36</f>
        <v>包</v>
      </c>
      <c r="T35" s="61"/>
      <c r="U35" s="62">
        <f>报关草单!Z36</f>
        <v>18.6</v>
      </c>
      <c r="V35" s="62"/>
      <c r="W35" s="62"/>
      <c r="X35" s="62">
        <f>报关草单!M36</f>
        <v>1.6</v>
      </c>
      <c r="Y35" s="62"/>
      <c r="Z35" s="62"/>
      <c r="AA35" s="62"/>
    </row>
    <row r="36" customFormat="1" ht="27" customHeight="1" spans="1:27">
      <c r="A36" s="52">
        <f>报关草单!A37</f>
        <v>25</v>
      </c>
      <c r="B36" s="52"/>
      <c r="C36" s="58" t="str">
        <f>报关草单!E37</f>
        <v>硅胶干燥剂</v>
      </c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68">
        <f>报关草单!AA37</f>
        <v>0</v>
      </c>
      <c r="O36" s="65"/>
      <c r="P36" s="66"/>
      <c r="Q36" s="52">
        <f>报关草单!K37</f>
        <v>2</v>
      </c>
      <c r="R36" s="52"/>
      <c r="S36" s="61" t="str">
        <f>报关草单!L37</f>
        <v>个</v>
      </c>
      <c r="T36" s="61"/>
      <c r="U36" s="62">
        <f>报关草单!Z37</f>
        <v>0</v>
      </c>
      <c r="V36" s="62"/>
      <c r="W36" s="62"/>
      <c r="X36" s="62">
        <f>报关草单!M37</f>
        <v>4</v>
      </c>
      <c r="Y36" s="62"/>
      <c r="Z36" s="62"/>
      <c r="AA36" s="62"/>
    </row>
    <row r="37" customFormat="1" ht="27" customHeight="1" spans="1:27">
      <c r="A37" s="52">
        <f>报关草单!A38</f>
        <v>26</v>
      </c>
      <c r="B37" s="52"/>
      <c r="C37" s="58" t="str">
        <f>报关草单!E38</f>
        <v>硅胶干燥剂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69">
        <f>报关草单!AA38</f>
        <v>0</v>
      </c>
      <c r="O37" s="59"/>
      <c r="P37" s="60"/>
      <c r="Q37" s="52">
        <f>报关草单!K38</f>
        <v>1</v>
      </c>
      <c r="R37" s="52"/>
      <c r="S37" s="61" t="str">
        <f>报关草单!L38</f>
        <v>个</v>
      </c>
      <c r="T37" s="61"/>
      <c r="U37" s="62">
        <f>报关草单!Z38</f>
        <v>0</v>
      </c>
      <c r="V37" s="62"/>
      <c r="W37" s="62"/>
      <c r="X37" s="62">
        <f>报关草单!M38</f>
        <v>1</v>
      </c>
      <c r="Y37" s="62"/>
      <c r="Z37" s="62"/>
      <c r="AA37" s="62"/>
    </row>
    <row r="38" customFormat="1" ht="27" customHeight="1" spans="1:27">
      <c r="A38" s="52">
        <f>报关草单!A39</f>
        <v>27</v>
      </c>
      <c r="B38" s="52"/>
      <c r="C38" s="58" t="str">
        <f>报关草单!E39</f>
        <v>推拉杆</v>
      </c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67">
        <f>报关草单!AA39</f>
        <v>0</v>
      </c>
      <c r="O38" s="63"/>
      <c r="P38" s="64"/>
      <c r="Q38" s="52">
        <f>报关草单!K39</f>
        <v>5</v>
      </c>
      <c r="R38" s="52"/>
      <c r="S38" s="61" t="str">
        <f>报关草单!L39</f>
        <v>个</v>
      </c>
      <c r="T38" s="61"/>
      <c r="U38" s="62">
        <f>报关草单!Z39</f>
        <v>0</v>
      </c>
      <c r="V38" s="62"/>
      <c r="W38" s="62"/>
      <c r="X38" s="62">
        <f>报关草单!M39</f>
        <v>2.5</v>
      </c>
      <c r="Y38" s="62"/>
      <c r="Z38" s="62"/>
      <c r="AA38" s="62"/>
    </row>
    <row r="39" customFormat="1" ht="27" customHeight="1" spans="1:27">
      <c r="A39" s="52">
        <f>报关草单!A40</f>
        <v>28</v>
      </c>
      <c r="B39" s="52"/>
      <c r="C39" s="58" t="str">
        <f>报关草单!E40</f>
        <v>聚脂钎维填充物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67">
        <f>报关草单!AA40</f>
        <v>0</v>
      </c>
      <c r="O39" s="63"/>
      <c r="P39" s="64"/>
      <c r="Q39" s="52">
        <f>报关草单!K40</f>
        <v>3</v>
      </c>
      <c r="R39" s="52"/>
      <c r="S39" s="61" t="str">
        <f>报关草单!L40</f>
        <v>个</v>
      </c>
      <c r="T39" s="61"/>
      <c r="U39" s="62">
        <f>报关草单!Z40</f>
        <v>0</v>
      </c>
      <c r="V39" s="62"/>
      <c r="W39" s="62"/>
      <c r="X39" s="62">
        <f>报关草单!M40</f>
        <v>0.81</v>
      </c>
      <c r="Y39" s="62"/>
      <c r="Z39" s="62"/>
      <c r="AA39" s="62"/>
    </row>
    <row r="40" customFormat="1" ht="27" customHeight="1" spans="1:27">
      <c r="A40" s="52">
        <f>报关草单!A41</f>
        <v>29</v>
      </c>
      <c r="B40" s="52"/>
      <c r="C40" s="58" t="str">
        <f>报关草单!E41</f>
        <v>聚脂钎维填充物</v>
      </c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67">
        <f>报关草单!AA41</f>
        <v>0</v>
      </c>
      <c r="O40" s="63"/>
      <c r="P40" s="64"/>
      <c r="Q40" s="52">
        <f>报关草单!K41</f>
        <v>6</v>
      </c>
      <c r="R40" s="52"/>
      <c r="S40" s="61" t="str">
        <f>报关草单!L41</f>
        <v>个</v>
      </c>
      <c r="T40" s="61"/>
      <c r="U40" s="62">
        <f>报关草单!Z41</f>
        <v>0</v>
      </c>
      <c r="V40" s="62"/>
      <c r="W40" s="62"/>
      <c r="X40" s="62">
        <f>报关草单!M41</f>
        <v>6</v>
      </c>
      <c r="Y40" s="62"/>
      <c r="Z40" s="62"/>
      <c r="AA40" s="62"/>
    </row>
    <row r="41" customFormat="1" ht="27" customHeight="1" spans="1:27">
      <c r="A41" s="52">
        <f>报关草单!A42</f>
        <v>30</v>
      </c>
      <c r="B41" s="52"/>
      <c r="C41" s="58" t="str">
        <f>报关草单!E42</f>
        <v>硅胶干燥剂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68">
        <f>报关草单!AA42</f>
        <v>8</v>
      </c>
      <c r="O41" s="65"/>
      <c r="P41" s="66"/>
      <c r="Q41" s="52">
        <f>报关草单!K42</f>
        <v>2</v>
      </c>
      <c r="R41" s="52"/>
      <c r="S41" s="61" t="str">
        <f>报关草单!L42</f>
        <v>包</v>
      </c>
      <c r="T41" s="61"/>
      <c r="U41" s="62">
        <f>报关草单!Z42</f>
        <v>17.6</v>
      </c>
      <c r="V41" s="62"/>
      <c r="W41" s="62"/>
      <c r="X41" s="62">
        <f>报关草单!M42</f>
        <v>1.6</v>
      </c>
      <c r="Y41" s="62"/>
      <c r="Z41" s="62"/>
      <c r="AA41" s="62"/>
    </row>
    <row r="42" customFormat="1" ht="27" customHeight="1" spans="1:27">
      <c r="A42" s="52">
        <f>报关草单!A43</f>
        <v>31</v>
      </c>
      <c r="B42" s="52"/>
      <c r="C42" s="58" t="str">
        <f>报关草单!E43</f>
        <v>硅胶干燥剂</v>
      </c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69">
        <f>报关草单!AA43</f>
        <v>0</v>
      </c>
      <c r="O42" s="59"/>
      <c r="P42" s="60"/>
      <c r="Q42" s="52">
        <f>报关草单!K43</f>
        <v>2</v>
      </c>
      <c r="R42" s="52"/>
      <c r="S42" s="61" t="str">
        <f>报关草单!L43</f>
        <v>个</v>
      </c>
      <c r="T42" s="61"/>
      <c r="U42" s="62">
        <f>报关草单!Z43</f>
        <v>0</v>
      </c>
      <c r="V42" s="62"/>
      <c r="W42" s="62"/>
      <c r="X42" s="62">
        <f>报关草单!M43</f>
        <v>4</v>
      </c>
      <c r="Y42" s="62"/>
      <c r="Z42" s="62"/>
      <c r="AA42" s="62"/>
    </row>
    <row r="43" customFormat="1" ht="27" customHeight="1" spans="1:27">
      <c r="A43" s="52">
        <f>报关草单!A44</f>
        <v>32</v>
      </c>
      <c r="B43" s="52"/>
      <c r="C43" s="58" t="str">
        <f>报关草单!E44</f>
        <v>推拉杆</v>
      </c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67">
        <f>报关草单!AA44</f>
        <v>0</v>
      </c>
      <c r="O43" s="63"/>
      <c r="P43" s="64"/>
      <c r="Q43" s="52">
        <f>报关草单!K44</f>
        <v>5</v>
      </c>
      <c r="R43" s="52"/>
      <c r="S43" s="61" t="str">
        <f>报关草单!L44</f>
        <v>个</v>
      </c>
      <c r="T43" s="61"/>
      <c r="U43" s="62">
        <f>报关草单!Z44</f>
        <v>0</v>
      </c>
      <c r="V43" s="62"/>
      <c r="W43" s="62"/>
      <c r="X43" s="62">
        <f>报关草单!M44</f>
        <v>2.5</v>
      </c>
      <c r="Y43" s="62"/>
      <c r="Z43" s="62"/>
      <c r="AA43" s="62"/>
    </row>
    <row r="44" customFormat="1" ht="27" customHeight="1" spans="1:27">
      <c r="A44" s="52">
        <f>报关草单!A45</f>
        <v>33</v>
      </c>
      <c r="B44" s="52"/>
      <c r="C44" s="58" t="str">
        <f>报关草单!E45</f>
        <v>聚脂钎维填充物</v>
      </c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67">
        <f>报关草单!AA45</f>
        <v>0</v>
      </c>
      <c r="O44" s="63"/>
      <c r="P44" s="64"/>
      <c r="Q44" s="52">
        <f>报关草单!K45</f>
        <v>3</v>
      </c>
      <c r="R44" s="52"/>
      <c r="S44" s="61" t="str">
        <f>报关草单!L45</f>
        <v>个</v>
      </c>
      <c r="T44" s="61"/>
      <c r="U44" s="62">
        <f>报关草单!Z45</f>
        <v>0</v>
      </c>
      <c r="V44" s="62"/>
      <c r="W44" s="62"/>
      <c r="X44" s="62">
        <f>报关草单!M45</f>
        <v>0.81</v>
      </c>
      <c r="Y44" s="62"/>
      <c r="Z44" s="62"/>
      <c r="AA44" s="62"/>
    </row>
    <row r="45" customFormat="1" ht="27" customHeight="1" spans="1:27">
      <c r="A45" s="52">
        <f>报关草单!A46</f>
        <v>34</v>
      </c>
      <c r="B45" s="52"/>
      <c r="C45" s="58" t="str">
        <f>报关草单!E46</f>
        <v>聚脂钎维填充物</v>
      </c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67">
        <f>报关草单!AA46</f>
        <v>0</v>
      </c>
      <c r="O45" s="63"/>
      <c r="P45" s="64"/>
      <c r="Q45" s="52">
        <f>报关草单!K46</f>
        <v>6</v>
      </c>
      <c r="R45" s="52"/>
      <c r="S45" s="61" t="str">
        <f>报关草单!L46</f>
        <v>个</v>
      </c>
      <c r="T45" s="61"/>
      <c r="U45" s="62">
        <f>报关草单!Z46</f>
        <v>0</v>
      </c>
      <c r="V45" s="62"/>
      <c r="W45" s="62"/>
      <c r="X45" s="62">
        <f>报关草单!M46</f>
        <v>6</v>
      </c>
      <c r="Y45" s="62"/>
      <c r="Z45" s="62"/>
      <c r="AA45" s="62"/>
    </row>
    <row r="46" customFormat="1" ht="27" customHeight="1" spans="1:27">
      <c r="A46" s="52">
        <f>报关草单!A47</f>
        <v>35</v>
      </c>
      <c r="B46" s="52"/>
      <c r="C46" s="58" t="str">
        <f>报关草单!E47</f>
        <v>硅胶干燥剂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68">
        <f>报关草单!AA47</f>
        <v>9</v>
      </c>
      <c r="O46" s="65"/>
      <c r="P46" s="66"/>
      <c r="Q46" s="52">
        <f>报关草单!K47</f>
        <v>2</v>
      </c>
      <c r="R46" s="52"/>
      <c r="S46" s="61" t="str">
        <f>报关草单!L47</f>
        <v>包</v>
      </c>
      <c r="T46" s="61"/>
      <c r="U46" s="62">
        <f>报关草单!Z47</f>
        <v>17.5</v>
      </c>
      <c r="V46" s="62"/>
      <c r="W46" s="62"/>
      <c r="X46" s="62">
        <f>报关草单!M47</f>
        <v>1.6</v>
      </c>
      <c r="Y46" s="62"/>
      <c r="Z46" s="62"/>
      <c r="AA46" s="62"/>
    </row>
    <row r="47" customFormat="1" ht="27" customHeight="1" spans="1:27">
      <c r="A47" s="52">
        <f>报关草单!A48</f>
        <v>36</v>
      </c>
      <c r="B47" s="52"/>
      <c r="C47" s="58" t="str">
        <f>报关草单!E48</f>
        <v>硅胶干燥剂</v>
      </c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69">
        <f>报关草单!AA48</f>
        <v>0</v>
      </c>
      <c r="O47" s="59"/>
      <c r="P47" s="60"/>
      <c r="Q47" s="52">
        <f>报关草单!K48</f>
        <v>2</v>
      </c>
      <c r="R47" s="52"/>
      <c r="S47" s="61" t="str">
        <f>报关草单!L48</f>
        <v>个</v>
      </c>
      <c r="T47" s="61"/>
      <c r="U47" s="62">
        <f>报关草单!Z48</f>
        <v>0</v>
      </c>
      <c r="V47" s="62"/>
      <c r="W47" s="62"/>
      <c r="X47" s="62">
        <f>报关草单!M48</f>
        <v>4</v>
      </c>
      <c r="Y47" s="62"/>
      <c r="Z47" s="62"/>
      <c r="AA47" s="62"/>
    </row>
    <row r="48" customFormat="1" ht="27" customHeight="1" spans="1:27">
      <c r="A48" s="52">
        <f>报关草单!A49</f>
        <v>37</v>
      </c>
      <c r="B48" s="52"/>
      <c r="C48" s="58" t="str">
        <f>报关草单!E49</f>
        <v>推拉杆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69">
        <f>报关草单!AA49</f>
        <v>0</v>
      </c>
      <c r="O48" s="63"/>
      <c r="P48" s="64"/>
      <c r="Q48" s="52">
        <f>报关草单!K49</f>
        <v>5</v>
      </c>
      <c r="R48" s="52"/>
      <c r="S48" s="61" t="str">
        <f>报关草单!L49</f>
        <v>个</v>
      </c>
      <c r="T48" s="61"/>
      <c r="U48" s="62">
        <f>报关草单!Z49</f>
        <v>0</v>
      </c>
      <c r="V48" s="62"/>
      <c r="W48" s="62"/>
      <c r="X48" s="62">
        <f>报关草单!M49</f>
        <v>2.5</v>
      </c>
      <c r="Y48" s="62"/>
      <c r="Z48" s="62"/>
      <c r="AA48" s="62"/>
    </row>
    <row r="49" customFormat="1" ht="27" customHeight="1" spans="1:27">
      <c r="A49" s="52">
        <f>报关草单!A50</f>
        <v>38</v>
      </c>
      <c r="B49" s="52"/>
      <c r="C49" s="58" t="str">
        <f>报关草单!E50</f>
        <v>聚脂钎维填充物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69">
        <f>报关草单!AA50</f>
        <v>0</v>
      </c>
      <c r="O49" s="63"/>
      <c r="P49" s="64"/>
      <c r="Q49" s="52">
        <f>报关草单!K50</f>
        <v>3</v>
      </c>
      <c r="R49" s="52"/>
      <c r="S49" s="61" t="str">
        <f>报关草单!L50</f>
        <v>个</v>
      </c>
      <c r="T49" s="61"/>
      <c r="U49" s="62">
        <f>报关草单!Z50</f>
        <v>0</v>
      </c>
      <c r="V49" s="62"/>
      <c r="W49" s="62"/>
      <c r="X49" s="62">
        <f>报关草单!M50</f>
        <v>0.81</v>
      </c>
      <c r="Y49" s="62"/>
      <c r="Z49" s="62"/>
      <c r="AA49" s="62"/>
    </row>
    <row r="50" customFormat="1" ht="27" customHeight="1" spans="1:27">
      <c r="A50" s="52">
        <f>报关草单!A51</f>
        <v>39</v>
      </c>
      <c r="B50" s="52"/>
      <c r="C50" s="58" t="str">
        <f>报关草单!E51</f>
        <v>聚脂钎维填充物</v>
      </c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69">
        <f>报关草单!AA51</f>
        <v>0</v>
      </c>
      <c r="O50" s="63"/>
      <c r="P50" s="64"/>
      <c r="Q50" s="52">
        <f>报关草单!K51</f>
        <v>6</v>
      </c>
      <c r="R50" s="52"/>
      <c r="S50" s="61" t="str">
        <f>报关草单!L51</f>
        <v>个</v>
      </c>
      <c r="T50" s="61"/>
      <c r="U50" s="62">
        <f>报关草单!Z51</f>
        <v>0</v>
      </c>
      <c r="V50" s="62"/>
      <c r="W50" s="62"/>
      <c r="X50" s="62">
        <f>报关草单!M51</f>
        <v>6</v>
      </c>
      <c r="Y50" s="62"/>
      <c r="Z50" s="62"/>
      <c r="AA50" s="62"/>
    </row>
    <row r="51" customFormat="1" ht="27" customHeight="1" spans="1:27">
      <c r="A51" s="52">
        <f>报关草单!A52</f>
        <v>40</v>
      </c>
      <c r="B51" s="52"/>
      <c r="C51" s="58" t="str">
        <f>报关草单!E52</f>
        <v>隔音棉</v>
      </c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69">
        <f>报关草单!AA52</f>
        <v>10</v>
      </c>
      <c r="O51" s="65"/>
      <c r="P51" s="66"/>
      <c r="Q51" s="52">
        <f>报关草单!K52</f>
        <v>2</v>
      </c>
      <c r="R51" s="52"/>
      <c r="S51" s="61" t="str">
        <f>报关草单!L52</f>
        <v>个</v>
      </c>
      <c r="T51" s="61"/>
      <c r="U51" s="62">
        <f>报关草单!Z52</f>
        <v>17.8</v>
      </c>
      <c r="V51" s="62"/>
      <c r="W51" s="62"/>
      <c r="X51" s="62">
        <f>报关草单!M52</f>
        <v>2.7</v>
      </c>
      <c r="Y51" s="62"/>
      <c r="Z51" s="62"/>
      <c r="AA51" s="62"/>
    </row>
    <row r="52" customFormat="1" ht="27" customHeight="1" spans="1:27">
      <c r="A52" s="52">
        <f>报关草单!A53</f>
        <v>41</v>
      </c>
      <c r="B52" s="52"/>
      <c r="C52" s="58" t="str">
        <f>报关草单!E53</f>
        <v>硅胶干燥剂</v>
      </c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69">
        <f>报关草单!AA53</f>
        <v>0</v>
      </c>
      <c r="O52" s="59"/>
      <c r="P52" s="60"/>
      <c r="Q52" s="52">
        <f>报关草单!K53</f>
        <v>3</v>
      </c>
      <c r="R52" s="52"/>
      <c r="S52" s="61" t="str">
        <f>报关草单!L53</f>
        <v>个</v>
      </c>
      <c r="T52" s="61"/>
      <c r="U52" s="62">
        <f>报关草单!Z53</f>
        <v>0</v>
      </c>
      <c r="V52" s="62"/>
      <c r="W52" s="62"/>
      <c r="X52" s="62">
        <f>报关草单!M53</f>
        <v>6</v>
      </c>
      <c r="Y52" s="62"/>
      <c r="Z52" s="62"/>
      <c r="AA52" s="62"/>
    </row>
    <row r="53" customFormat="1" ht="27" customHeight="1" spans="1:27">
      <c r="A53" s="52">
        <f>报关草单!A54</f>
        <v>42</v>
      </c>
      <c r="B53" s="52"/>
      <c r="C53" s="58" t="str">
        <f>报关草单!E54</f>
        <v>推拉杆</v>
      </c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69">
        <f>报关草单!AA54</f>
        <v>0</v>
      </c>
      <c r="O53" s="63"/>
      <c r="P53" s="64"/>
      <c r="Q53" s="52">
        <f>报关草单!K54</f>
        <v>6</v>
      </c>
      <c r="R53" s="52"/>
      <c r="S53" s="61" t="str">
        <f>报关草单!L75</f>
        <v>个</v>
      </c>
      <c r="T53" s="61"/>
      <c r="U53" s="62">
        <f>报关草单!Z54</f>
        <v>0</v>
      </c>
      <c r="V53" s="62"/>
      <c r="W53" s="62"/>
      <c r="X53" s="62">
        <f>报关草单!M54</f>
        <v>3</v>
      </c>
      <c r="Y53" s="62"/>
      <c r="Z53" s="62"/>
      <c r="AA53" s="62"/>
    </row>
    <row r="54" customFormat="1" ht="27" customHeight="1" spans="1:27">
      <c r="A54" s="52">
        <f>报关草单!A55</f>
        <v>43</v>
      </c>
      <c r="B54" s="52"/>
      <c r="C54" s="58" t="str">
        <f>报关草单!E55</f>
        <v>聚脂钎维填充物</v>
      </c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69">
        <f>报关草单!AA55</f>
        <v>0</v>
      </c>
      <c r="O54" s="63"/>
      <c r="P54" s="64"/>
      <c r="Q54" s="52">
        <f>报关草单!K55</f>
        <v>1</v>
      </c>
      <c r="R54" s="52"/>
      <c r="S54" s="61" t="str">
        <f>报关草单!L76</f>
        <v>个</v>
      </c>
      <c r="T54" s="61"/>
      <c r="U54" s="62">
        <f>报关草单!Z55</f>
        <v>0</v>
      </c>
      <c r="V54" s="62"/>
      <c r="W54" s="62"/>
      <c r="X54" s="62">
        <f>报关草单!M55</f>
        <v>0.27</v>
      </c>
      <c r="Y54" s="62"/>
      <c r="Z54" s="62"/>
      <c r="AA54" s="62"/>
    </row>
    <row r="55" customFormat="1" ht="27" customHeight="1" spans="1:27">
      <c r="A55" s="52">
        <f>报关草单!A56</f>
        <v>44</v>
      </c>
      <c r="B55" s="52"/>
      <c r="C55" s="58" t="str">
        <f>报关草单!E56</f>
        <v>聚脂钎维填充物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69">
        <f>报关草单!AA56</f>
        <v>0</v>
      </c>
      <c r="O55" s="63"/>
      <c r="P55" s="64"/>
      <c r="Q55" s="52">
        <f>报关草单!K56</f>
        <v>3</v>
      </c>
      <c r="R55" s="52"/>
      <c r="S55" s="61" t="str">
        <f>报关草单!L77</f>
        <v>个</v>
      </c>
      <c r="T55" s="61"/>
      <c r="U55" s="62">
        <f>报关草单!Z56</f>
        <v>0</v>
      </c>
      <c r="V55" s="62"/>
      <c r="W55" s="62"/>
      <c r="X55" s="62">
        <f>报关草单!M56</f>
        <v>3</v>
      </c>
      <c r="Y55" s="62"/>
      <c r="Z55" s="62"/>
      <c r="AA55" s="62"/>
    </row>
    <row r="56" customFormat="1" ht="27" customHeight="1" spans="1:27">
      <c r="A56" s="52">
        <f>报关草单!A57</f>
        <v>45</v>
      </c>
      <c r="B56" s="52"/>
      <c r="C56" s="58" t="str">
        <f>报关草单!E57</f>
        <v>硅胶干燥剂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69">
        <f>报关草单!AA57</f>
        <v>11</v>
      </c>
      <c r="O56" s="65"/>
      <c r="P56" s="66"/>
      <c r="Q56" s="52">
        <f>报关草单!K57</f>
        <v>2</v>
      </c>
      <c r="R56" s="52"/>
      <c r="S56" s="61" t="str">
        <f>报关草单!L78</f>
        <v>个</v>
      </c>
      <c r="T56" s="61"/>
      <c r="U56" s="62">
        <f>报关草单!Z57</f>
        <v>18.6</v>
      </c>
      <c r="V56" s="62"/>
      <c r="W56" s="62"/>
      <c r="X56" s="62">
        <f>报关草单!M57</f>
        <v>1.6</v>
      </c>
      <c r="Y56" s="62"/>
      <c r="Z56" s="62"/>
      <c r="AA56" s="62"/>
    </row>
    <row r="57" customFormat="1" ht="27" customHeight="1" spans="1:27">
      <c r="A57" s="52">
        <f>报关草单!A58</f>
        <v>46</v>
      </c>
      <c r="B57" s="52"/>
      <c r="C57" s="58" t="str">
        <f>报关草单!E58</f>
        <v>硅胶干燥剂</v>
      </c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69">
        <f>报关草单!AA58</f>
        <v>0</v>
      </c>
      <c r="O57" s="59"/>
      <c r="P57" s="60"/>
      <c r="Q57" s="52">
        <f>报关草单!K58</f>
        <v>2</v>
      </c>
      <c r="R57" s="52"/>
      <c r="S57" s="61" t="str">
        <f>报关草单!L79</f>
        <v>包</v>
      </c>
      <c r="T57" s="61"/>
      <c r="U57" s="62">
        <f>报关草单!Z58</f>
        <v>0</v>
      </c>
      <c r="V57" s="62"/>
      <c r="W57" s="62"/>
      <c r="X57" s="62">
        <f>报关草单!M58</f>
        <v>4</v>
      </c>
      <c r="Y57" s="62"/>
      <c r="Z57" s="62"/>
      <c r="AA57" s="62"/>
    </row>
    <row r="58" customFormat="1" ht="27" customHeight="1" spans="1:27">
      <c r="A58" s="52">
        <f>报关草单!A59</f>
        <v>47</v>
      </c>
      <c r="B58" s="52"/>
      <c r="C58" s="58" t="str">
        <f>报关草单!E59</f>
        <v>硅胶干燥剂</v>
      </c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69">
        <f>报关草单!AA59</f>
        <v>0</v>
      </c>
      <c r="O58" s="63"/>
      <c r="P58" s="64"/>
      <c r="Q58" s="52">
        <f>报关草单!K59</f>
        <v>1</v>
      </c>
      <c r="R58" s="52"/>
      <c r="S58" s="61" t="str">
        <f>报关草单!L80</f>
        <v>个</v>
      </c>
      <c r="T58" s="61"/>
      <c r="U58" s="62">
        <f>报关草单!Z59</f>
        <v>0</v>
      </c>
      <c r="V58" s="62"/>
      <c r="W58" s="62"/>
      <c r="X58" s="62">
        <f>报关草单!M59</f>
        <v>1</v>
      </c>
      <c r="Y58" s="62"/>
      <c r="Z58" s="62"/>
      <c r="AA58" s="62"/>
    </row>
    <row r="59" customFormat="1" ht="27" customHeight="1" spans="1:27">
      <c r="A59" s="52">
        <f>报关草单!A60</f>
        <v>48</v>
      </c>
      <c r="B59" s="52"/>
      <c r="C59" s="58" t="str">
        <f>报关草单!E60</f>
        <v>推拉杆</v>
      </c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69">
        <f>报关草单!AA60</f>
        <v>0</v>
      </c>
      <c r="O59" s="63"/>
      <c r="P59" s="64"/>
      <c r="Q59" s="52">
        <f>报关草单!K60</f>
        <v>5</v>
      </c>
      <c r="R59" s="52"/>
      <c r="S59" s="61" t="str">
        <f>报关草单!L81</f>
        <v>个</v>
      </c>
      <c r="T59" s="61"/>
      <c r="U59" s="62">
        <f>报关草单!Z60</f>
        <v>0</v>
      </c>
      <c r="V59" s="62"/>
      <c r="W59" s="62"/>
      <c r="X59" s="62">
        <f>报关草单!M60</f>
        <v>2.5</v>
      </c>
      <c r="Y59" s="62"/>
      <c r="Z59" s="62"/>
      <c r="AA59" s="62"/>
    </row>
    <row r="60" customFormat="1" ht="27" customHeight="1" spans="1:27">
      <c r="A60" s="52">
        <f>报关草单!A61</f>
        <v>49</v>
      </c>
      <c r="B60" s="52"/>
      <c r="C60" s="58" t="str">
        <f>报关草单!E61</f>
        <v>聚脂钎维填充物</v>
      </c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69">
        <f>报关草单!AA61</f>
        <v>0</v>
      </c>
      <c r="O60" s="63"/>
      <c r="P60" s="64"/>
      <c r="Q60" s="52">
        <f>报关草单!K61</f>
        <v>3</v>
      </c>
      <c r="R60" s="52"/>
      <c r="S60" s="61" t="str">
        <f>报关草单!L82</f>
        <v>个</v>
      </c>
      <c r="T60" s="61"/>
      <c r="U60" s="62">
        <f>报关草单!Z61</f>
        <v>0</v>
      </c>
      <c r="V60" s="62"/>
      <c r="W60" s="62"/>
      <c r="X60" s="62">
        <f>报关草单!M61</f>
        <v>0.81</v>
      </c>
      <c r="Y60" s="62"/>
      <c r="Z60" s="62"/>
      <c r="AA60" s="62"/>
    </row>
    <row r="61" customFormat="1" ht="27" customHeight="1" spans="1:27">
      <c r="A61" s="52">
        <f>报关草单!A62</f>
        <v>50</v>
      </c>
      <c r="B61" s="52"/>
      <c r="C61" s="58" t="str">
        <f>报关草单!E62</f>
        <v>聚脂钎维填充物</v>
      </c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69">
        <f>报关草单!AA62</f>
        <v>0</v>
      </c>
      <c r="O61" s="65"/>
      <c r="P61" s="66"/>
      <c r="Q61" s="52">
        <f>报关草单!K62</f>
        <v>6</v>
      </c>
      <c r="R61" s="52"/>
      <c r="S61" s="61" t="str">
        <f>报关草单!L83</f>
        <v>个</v>
      </c>
      <c r="T61" s="61"/>
      <c r="U61" s="62">
        <f>报关草单!Z62</f>
        <v>0</v>
      </c>
      <c r="V61" s="62"/>
      <c r="W61" s="62"/>
      <c r="X61" s="62">
        <f>报关草单!M62</f>
        <v>6</v>
      </c>
      <c r="Y61" s="62"/>
      <c r="Z61" s="62"/>
      <c r="AA61" s="62"/>
    </row>
    <row r="62" customFormat="1" ht="27" customHeight="1" spans="1:27">
      <c r="A62" s="52">
        <f>报关草单!A63</f>
        <v>51</v>
      </c>
      <c r="B62" s="52"/>
      <c r="C62" s="58" t="str">
        <f>报关草单!E63</f>
        <v>硅胶干燥剂</v>
      </c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69">
        <f>报关草单!AA63</f>
        <v>12</v>
      </c>
      <c r="O62" s="59"/>
      <c r="P62" s="60"/>
      <c r="Q62" s="52">
        <f>报关草单!K63</f>
        <v>2</v>
      </c>
      <c r="R62" s="52"/>
      <c r="S62" s="61">
        <f>报关草单!L84</f>
        <v>0</v>
      </c>
      <c r="T62" s="61"/>
      <c r="U62" s="62">
        <f>报关草单!Z63</f>
        <v>17.6</v>
      </c>
      <c r="V62" s="62"/>
      <c r="W62" s="62"/>
      <c r="X62" s="62">
        <f>报关草单!M63</f>
        <v>1.6</v>
      </c>
      <c r="Y62" s="62"/>
      <c r="Z62" s="62"/>
      <c r="AA62" s="62"/>
    </row>
    <row r="63" customFormat="1" ht="27" customHeight="1" spans="1:27">
      <c r="A63" s="52">
        <f>报关草单!A64</f>
        <v>52</v>
      </c>
      <c r="B63" s="52"/>
      <c r="C63" s="58" t="str">
        <f>报关草单!E64</f>
        <v>硅胶干燥剂</v>
      </c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69">
        <f>报关草单!AA64</f>
        <v>0</v>
      </c>
      <c r="O63" s="63"/>
      <c r="P63" s="64"/>
      <c r="Q63" s="52">
        <f>报关草单!K64</f>
        <v>2</v>
      </c>
      <c r="R63" s="52"/>
      <c r="S63" s="61">
        <f>报关草单!L85</f>
        <v>0</v>
      </c>
      <c r="T63" s="61"/>
      <c r="U63" s="62">
        <f>报关草单!Z64</f>
        <v>0</v>
      </c>
      <c r="V63" s="62"/>
      <c r="W63" s="62"/>
      <c r="X63" s="62">
        <f>报关草单!M64</f>
        <v>4</v>
      </c>
      <c r="Y63" s="62"/>
      <c r="Z63" s="62"/>
      <c r="AA63" s="62"/>
    </row>
    <row r="64" customFormat="1" ht="27" customHeight="1" spans="1:27">
      <c r="A64" s="52">
        <f>报关草单!A65</f>
        <v>53</v>
      </c>
      <c r="B64" s="52"/>
      <c r="C64" s="58" t="str">
        <f>报关草单!E65</f>
        <v>推拉杆</v>
      </c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69">
        <f>报关草单!AA65</f>
        <v>0</v>
      </c>
      <c r="O64" s="63"/>
      <c r="P64" s="64"/>
      <c r="Q64" s="52">
        <f>报关草单!K65</f>
        <v>5</v>
      </c>
      <c r="R64" s="52"/>
      <c r="S64" s="61">
        <f>报关草单!L86</f>
        <v>0</v>
      </c>
      <c r="T64" s="61"/>
      <c r="U64" s="62">
        <f>报关草单!Z65</f>
        <v>0</v>
      </c>
      <c r="V64" s="62"/>
      <c r="W64" s="62"/>
      <c r="X64" s="62">
        <f>报关草单!M65</f>
        <v>2.5</v>
      </c>
      <c r="Y64" s="62"/>
      <c r="Z64" s="62"/>
      <c r="AA64" s="62"/>
    </row>
    <row r="65" customFormat="1" ht="27" customHeight="1" spans="1:27">
      <c r="A65" s="52">
        <f>报关草单!A66</f>
        <v>54</v>
      </c>
      <c r="B65" s="52"/>
      <c r="C65" s="58" t="str">
        <f>报关草单!E66</f>
        <v>聚脂钎维填充物</v>
      </c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69">
        <f>报关草单!AA66</f>
        <v>0</v>
      </c>
      <c r="O65" s="63"/>
      <c r="P65" s="64"/>
      <c r="Q65" s="52">
        <f>报关草单!K66</f>
        <v>3</v>
      </c>
      <c r="R65" s="52"/>
      <c r="S65" s="61">
        <f>报关草单!L87</f>
        <v>0</v>
      </c>
      <c r="T65" s="61"/>
      <c r="U65" s="62">
        <f>报关草单!Z66</f>
        <v>0</v>
      </c>
      <c r="V65" s="62"/>
      <c r="W65" s="62"/>
      <c r="X65" s="62">
        <f>报关草单!M66</f>
        <v>0.81</v>
      </c>
      <c r="Y65" s="62"/>
      <c r="Z65" s="62"/>
      <c r="AA65" s="62"/>
    </row>
    <row r="66" customFormat="1" ht="27" customHeight="1" spans="1:27">
      <c r="A66" s="52">
        <f>报关草单!A67</f>
        <v>55</v>
      </c>
      <c r="B66" s="52"/>
      <c r="C66" s="58" t="str">
        <f>报关草单!E67</f>
        <v>聚脂钎维填充物</v>
      </c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69">
        <f>报关草单!AA67</f>
        <v>0</v>
      </c>
      <c r="O66" s="65"/>
      <c r="P66" s="66"/>
      <c r="Q66" s="52">
        <f>报关草单!K67</f>
        <v>6</v>
      </c>
      <c r="R66" s="52"/>
      <c r="S66" s="61">
        <f>报关草单!L88</f>
        <v>0</v>
      </c>
      <c r="T66" s="61"/>
      <c r="U66" s="62">
        <f>报关草单!Z67</f>
        <v>0</v>
      </c>
      <c r="V66" s="62"/>
      <c r="W66" s="62"/>
      <c r="X66" s="62">
        <f>报关草单!M67</f>
        <v>6</v>
      </c>
      <c r="Y66" s="62"/>
      <c r="Z66" s="62"/>
      <c r="AA66" s="62"/>
    </row>
    <row r="67" customFormat="1" ht="27" customHeight="1" spans="1:27">
      <c r="A67" s="52">
        <f>报关草单!A68</f>
        <v>56</v>
      </c>
      <c r="B67" s="52"/>
      <c r="C67" s="58" t="str">
        <f>报关草单!E68</f>
        <v>硅胶干燥剂</v>
      </c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69">
        <f>报关草单!AA68</f>
        <v>13</v>
      </c>
      <c r="O67" s="59"/>
      <c r="P67" s="60"/>
      <c r="Q67" s="52">
        <f>报关草单!K68</f>
        <v>2</v>
      </c>
      <c r="R67" s="52"/>
      <c r="S67" s="61">
        <f>报关草单!L89</f>
        <v>0</v>
      </c>
      <c r="T67" s="61"/>
      <c r="U67" s="62">
        <f>报关草单!Z68</f>
        <v>18.3</v>
      </c>
      <c r="V67" s="62"/>
      <c r="W67" s="62"/>
      <c r="X67" s="62">
        <f>报关草单!M68</f>
        <v>1.6</v>
      </c>
      <c r="Y67" s="62"/>
      <c r="Z67" s="62"/>
      <c r="AA67" s="62"/>
    </row>
    <row r="68" customFormat="1" ht="27" customHeight="1" spans="1:27">
      <c r="A68" s="52">
        <f>报关草单!A69</f>
        <v>57</v>
      </c>
      <c r="B68" s="52"/>
      <c r="C68" s="58" t="str">
        <f>报关草单!E69</f>
        <v>硅胶干燥剂</v>
      </c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69">
        <f>报关草单!AA69</f>
        <v>0</v>
      </c>
      <c r="O68" s="63"/>
      <c r="P68" s="64"/>
      <c r="Q68" s="52">
        <f>报关草单!K69</f>
        <v>2</v>
      </c>
      <c r="R68" s="52"/>
      <c r="S68" s="61">
        <f>报关草单!L90</f>
        <v>0</v>
      </c>
      <c r="T68" s="61"/>
      <c r="U68" s="62">
        <f>报关草单!Z69</f>
        <v>0</v>
      </c>
      <c r="V68" s="62"/>
      <c r="W68" s="62"/>
      <c r="X68" s="62">
        <f>报关草单!M69</f>
        <v>4</v>
      </c>
      <c r="Y68" s="62"/>
      <c r="Z68" s="62"/>
      <c r="AA68" s="62"/>
    </row>
    <row r="69" customFormat="1" ht="27" customHeight="1" spans="1:27">
      <c r="A69" s="52">
        <f>报关草单!A70</f>
        <v>58</v>
      </c>
      <c r="B69" s="52"/>
      <c r="C69" s="58" t="str">
        <f>报关草单!E70</f>
        <v>推拉杆</v>
      </c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69">
        <f>报关草单!AA70</f>
        <v>0</v>
      </c>
      <c r="O69" s="63"/>
      <c r="P69" s="64"/>
      <c r="Q69" s="52">
        <f>报关草单!K70</f>
        <v>5</v>
      </c>
      <c r="R69" s="52"/>
      <c r="S69" s="61">
        <f>报关草单!L91</f>
        <v>0</v>
      </c>
      <c r="T69" s="61"/>
      <c r="U69" s="62">
        <f>报关草单!Z70</f>
        <v>0</v>
      </c>
      <c r="V69" s="62"/>
      <c r="W69" s="62"/>
      <c r="X69" s="62">
        <f>报关草单!M70</f>
        <v>2.5</v>
      </c>
      <c r="Y69" s="62"/>
      <c r="Z69" s="62"/>
      <c r="AA69" s="62"/>
    </row>
    <row r="70" customFormat="1" ht="27" customHeight="1" spans="1:27">
      <c r="A70" s="52">
        <f>报关草单!A71</f>
        <v>59</v>
      </c>
      <c r="B70" s="52"/>
      <c r="C70" s="58" t="str">
        <f>报关草单!E71</f>
        <v>聚脂钎维填充物</v>
      </c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69">
        <f>报关草单!AA71</f>
        <v>0</v>
      </c>
      <c r="O70" s="63"/>
      <c r="P70" s="64"/>
      <c r="Q70" s="52">
        <f>报关草单!K71</f>
        <v>3</v>
      </c>
      <c r="R70" s="52"/>
      <c r="S70" s="61">
        <f>报关草单!L92</f>
        <v>0</v>
      </c>
      <c r="T70" s="61"/>
      <c r="U70" s="62">
        <f>报关草单!Z71</f>
        <v>0</v>
      </c>
      <c r="V70" s="62"/>
      <c r="W70" s="62"/>
      <c r="X70" s="62">
        <f>报关草单!M71</f>
        <v>0.81</v>
      </c>
      <c r="Y70" s="62"/>
      <c r="Z70" s="62"/>
      <c r="AA70" s="62"/>
    </row>
    <row r="71" customFormat="1" ht="27" customHeight="1" spans="1:27">
      <c r="A71" s="52">
        <f>报关草单!A72</f>
        <v>60</v>
      </c>
      <c r="B71" s="52"/>
      <c r="C71" s="58" t="str">
        <f>报关草单!E72</f>
        <v>聚脂钎维填充物</v>
      </c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69">
        <f>报关草单!AA72</f>
        <v>0</v>
      </c>
      <c r="O71" s="65"/>
      <c r="P71" s="66"/>
      <c r="Q71" s="52">
        <f>报关草单!K72</f>
        <v>6</v>
      </c>
      <c r="R71" s="52"/>
      <c r="S71" s="61">
        <f>报关草单!L93</f>
        <v>0</v>
      </c>
      <c r="T71" s="61"/>
      <c r="U71" s="62">
        <f>报关草单!Z72</f>
        <v>0</v>
      </c>
      <c r="V71" s="62"/>
      <c r="W71" s="62"/>
      <c r="X71" s="62">
        <f>报关草单!M72</f>
        <v>6</v>
      </c>
      <c r="Y71" s="62"/>
      <c r="Z71" s="62"/>
      <c r="AA71" s="62"/>
    </row>
    <row r="72" customFormat="1" ht="27" customHeight="1" spans="1:27">
      <c r="A72" s="52">
        <f>报关草单!A73</f>
        <v>61</v>
      </c>
      <c r="B72" s="52"/>
      <c r="C72" s="58" t="str">
        <f>报关草单!E73</f>
        <v>硅胶干燥剂</v>
      </c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69">
        <f>报关草单!AA73</f>
        <v>14</v>
      </c>
      <c r="O72" s="59"/>
      <c r="P72" s="60"/>
      <c r="Q72" s="52">
        <f>报关草单!K73</f>
        <v>2</v>
      </c>
      <c r="R72" s="52"/>
      <c r="S72" s="61">
        <f>报关草单!L94</f>
        <v>0</v>
      </c>
      <c r="T72" s="61"/>
      <c r="U72" s="62">
        <f>报关草单!Z73</f>
        <v>18.6</v>
      </c>
      <c r="V72" s="62"/>
      <c r="W72" s="62"/>
      <c r="X72" s="62">
        <f>报关草单!M73</f>
        <v>1.6</v>
      </c>
      <c r="Y72" s="62"/>
      <c r="Z72" s="62"/>
      <c r="AA72" s="62"/>
    </row>
    <row r="73" customFormat="1" ht="27" customHeight="1" spans="1:27">
      <c r="A73" s="52">
        <f>报关草单!A74</f>
        <v>62</v>
      </c>
      <c r="B73" s="52"/>
      <c r="C73" s="58" t="str">
        <f>报关草单!E74</f>
        <v>硅胶干燥剂</v>
      </c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69">
        <f>报关草单!AA74</f>
        <v>0</v>
      </c>
      <c r="O73" s="63"/>
      <c r="P73" s="64"/>
      <c r="Q73" s="52">
        <f>报关草单!K74</f>
        <v>2</v>
      </c>
      <c r="R73" s="52"/>
      <c r="S73" s="61">
        <f>报关草单!L95</f>
        <v>0</v>
      </c>
      <c r="T73" s="61"/>
      <c r="U73" s="62">
        <f>报关草单!Z74</f>
        <v>0</v>
      </c>
      <c r="V73" s="62"/>
      <c r="W73" s="62"/>
      <c r="X73" s="62">
        <f>报关草单!M74</f>
        <v>4</v>
      </c>
      <c r="Y73" s="62"/>
      <c r="Z73" s="62"/>
      <c r="AA73" s="62"/>
    </row>
    <row r="74" customFormat="1" ht="27" customHeight="1" spans="1:27">
      <c r="A74" s="52">
        <f>报关草单!A75</f>
        <v>63</v>
      </c>
      <c r="B74" s="52"/>
      <c r="C74" s="58" t="str">
        <f>报关草单!E75</f>
        <v>硅胶干燥剂</v>
      </c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69">
        <f>报关草单!AA75</f>
        <v>0</v>
      </c>
      <c r="O74" s="63"/>
      <c r="P74" s="64"/>
      <c r="Q74" s="52">
        <f>报关草单!K75</f>
        <v>1</v>
      </c>
      <c r="R74" s="52"/>
      <c r="S74" s="61">
        <f>报关草单!L96</f>
        <v>0</v>
      </c>
      <c r="T74" s="61"/>
      <c r="U74" s="62">
        <f>报关草单!Z75</f>
        <v>0</v>
      </c>
      <c r="V74" s="62"/>
      <c r="W74" s="62"/>
      <c r="X74" s="62">
        <f>报关草单!M75</f>
        <v>1</v>
      </c>
      <c r="Y74" s="62"/>
      <c r="Z74" s="62"/>
      <c r="AA74" s="62"/>
    </row>
    <row r="75" customFormat="1" ht="27" customHeight="1" spans="1:27">
      <c r="A75" s="52">
        <f>报关草单!A76</f>
        <v>64</v>
      </c>
      <c r="B75" s="52"/>
      <c r="C75" s="58" t="str">
        <f>报关草单!E76</f>
        <v>推拉杆</v>
      </c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69">
        <f>报关草单!AA76</f>
        <v>0</v>
      </c>
      <c r="O75" s="63"/>
      <c r="P75" s="64"/>
      <c r="Q75" s="52">
        <f>报关草单!K76</f>
        <v>5</v>
      </c>
      <c r="R75" s="52"/>
      <c r="S75" s="61">
        <f>报关草单!L97</f>
        <v>0</v>
      </c>
      <c r="T75" s="61"/>
      <c r="U75" s="62">
        <f>报关草单!Z76</f>
        <v>0</v>
      </c>
      <c r="V75" s="62"/>
      <c r="W75" s="62"/>
      <c r="X75" s="62">
        <f>报关草单!M76</f>
        <v>2.5</v>
      </c>
      <c r="Y75" s="62"/>
      <c r="Z75" s="62"/>
      <c r="AA75" s="62"/>
    </row>
    <row r="76" customFormat="1" ht="27" customHeight="1" spans="1:27">
      <c r="A76" s="52">
        <f>报关草单!A77</f>
        <v>65</v>
      </c>
      <c r="B76" s="52"/>
      <c r="C76" s="58" t="str">
        <f>报关草单!E77</f>
        <v>聚脂钎维填充物</v>
      </c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69">
        <f>报关草单!AA77</f>
        <v>0</v>
      </c>
      <c r="O76" s="65"/>
      <c r="P76" s="66"/>
      <c r="Q76" s="52">
        <f>报关草单!K77</f>
        <v>3</v>
      </c>
      <c r="R76" s="52"/>
      <c r="S76" s="61">
        <f>报关草单!L98</f>
        <v>0</v>
      </c>
      <c r="T76" s="61"/>
      <c r="U76" s="62">
        <f>报关草单!Z77</f>
        <v>0</v>
      </c>
      <c r="V76" s="62"/>
      <c r="W76" s="62"/>
      <c r="X76" s="62">
        <f>报关草单!M77</f>
        <v>0.81</v>
      </c>
      <c r="Y76" s="62"/>
      <c r="Z76" s="62"/>
      <c r="AA76" s="62"/>
    </row>
    <row r="77" customFormat="1" ht="27" customHeight="1" spans="1:27">
      <c r="A77" s="52">
        <f>报关草单!A78</f>
        <v>66</v>
      </c>
      <c r="B77" s="52"/>
      <c r="C77" s="58" t="str">
        <f>报关草单!E78</f>
        <v>聚脂钎维填充物</v>
      </c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69">
        <f>报关草单!AA78</f>
        <v>0</v>
      </c>
      <c r="O77" s="59"/>
      <c r="P77" s="60"/>
      <c r="Q77" s="52">
        <f>报关草单!K78</f>
        <v>6</v>
      </c>
      <c r="R77" s="52"/>
      <c r="S77" s="61">
        <f>报关草单!L99</f>
        <v>0</v>
      </c>
      <c r="T77" s="61"/>
      <c r="U77" s="62">
        <f>报关草单!Z78</f>
        <v>0</v>
      </c>
      <c r="V77" s="62"/>
      <c r="W77" s="62"/>
      <c r="X77" s="62">
        <f>报关草单!M78</f>
        <v>6</v>
      </c>
      <c r="Y77" s="62"/>
      <c r="Z77" s="62"/>
      <c r="AA77" s="62"/>
    </row>
    <row r="78" customFormat="1" ht="27" customHeight="1" spans="1:27">
      <c r="A78" s="52">
        <f>报关草单!A79</f>
        <v>67</v>
      </c>
      <c r="B78" s="52"/>
      <c r="C78" s="58" t="str">
        <f>报关草单!E79</f>
        <v>硅胶干燥剂</v>
      </c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69">
        <f>报关草单!AA79</f>
        <v>15</v>
      </c>
      <c r="O78" s="63"/>
      <c r="P78" s="64"/>
      <c r="Q78" s="52">
        <f>报关草单!K79</f>
        <v>2</v>
      </c>
      <c r="R78" s="52"/>
      <c r="S78" s="61">
        <f>报关草单!L100</f>
        <v>0</v>
      </c>
      <c r="T78" s="61"/>
      <c r="U78" s="62">
        <f>报关草单!Z79</f>
        <v>18.3</v>
      </c>
      <c r="V78" s="62"/>
      <c r="W78" s="62"/>
      <c r="X78" s="62">
        <f>报关草单!M79</f>
        <v>1.6</v>
      </c>
      <c r="Y78" s="62"/>
      <c r="Z78" s="62"/>
      <c r="AA78" s="62"/>
    </row>
    <row r="79" customFormat="1" ht="27" customHeight="1" spans="1:27">
      <c r="A79" s="52">
        <f>报关草单!A80</f>
        <v>68</v>
      </c>
      <c r="B79" s="52"/>
      <c r="C79" s="58" t="str">
        <f>报关草单!E80</f>
        <v>硅胶干燥剂</v>
      </c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69">
        <f>报关草单!AA80</f>
        <v>0</v>
      </c>
      <c r="O79" s="63"/>
      <c r="P79" s="64"/>
      <c r="Q79" s="52">
        <f>报关草单!K80</f>
        <v>5</v>
      </c>
      <c r="R79" s="52"/>
      <c r="S79" s="61">
        <f>报关草单!L101</f>
        <v>0</v>
      </c>
      <c r="T79" s="61"/>
      <c r="U79" s="62">
        <f>报关草单!Z80</f>
        <v>0</v>
      </c>
      <c r="V79" s="62"/>
      <c r="W79" s="62"/>
      <c r="X79" s="62">
        <f>报关草单!M80</f>
        <v>5</v>
      </c>
      <c r="Y79" s="62"/>
      <c r="Z79" s="62"/>
      <c r="AA79" s="62"/>
    </row>
    <row r="80" customFormat="1" ht="27" customHeight="1" spans="1:27">
      <c r="A80" s="52">
        <f>报关草单!A81</f>
        <v>69</v>
      </c>
      <c r="B80" s="52"/>
      <c r="C80" s="58" t="str">
        <f>报关草单!E81</f>
        <v>推拉杆</v>
      </c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69">
        <f>报关草单!AA81</f>
        <v>0</v>
      </c>
      <c r="O80" s="63"/>
      <c r="P80" s="64"/>
      <c r="Q80" s="52">
        <f>报关草单!K81</f>
        <v>5</v>
      </c>
      <c r="R80" s="52"/>
      <c r="S80" s="61">
        <f>报关草单!L102</f>
        <v>0</v>
      </c>
      <c r="T80" s="61"/>
      <c r="U80" s="62">
        <f>报关草单!Z81</f>
        <v>0</v>
      </c>
      <c r="V80" s="62"/>
      <c r="W80" s="62"/>
      <c r="X80" s="62">
        <f>报关草单!M81</f>
        <v>2.5</v>
      </c>
      <c r="Y80" s="62"/>
      <c r="Z80" s="62"/>
      <c r="AA80" s="62"/>
    </row>
    <row r="81" customFormat="1" ht="27" customHeight="1" spans="1:27">
      <c r="A81" s="52">
        <f>报关草单!A82</f>
        <v>70</v>
      </c>
      <c r="B81" s="52"/>
      <c r="C81" s="58" t="str">
        <f>报关草单!E82</f>
        <v>聚脂钎维填充物</v>
      </c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69">
        <f>报关草单!AA82</f>
        <v>0</v>
      </c>
      <c r="O81" s="65"/>
      <c r="P81" s="66"/>
      <c r="Q81" s="52">
        <f>报关草单!K82</f>
        <v>3</v>
      </c>
      <c r="R81" s="52"/>
      <c r="S81" s="61">
        <f>报关草单!L103</f>
        <v>0</v>
      </c>
      <c r="T81" s="61"/>
      <c r="U81" s="62">
        <f>报关草单!Z82</f>
        <v>0</v>
      </c>
      <c r="V81" s="62"/>
      <c r="W81" s="62"/>
      <c r="X81" s="62">
        <f>报关草单!M82</f>
        <v>0.81</v>
      </c>
      <c r="Y81" s="62"/>
      <c r="Z81" s="62"/>
      <c r="AA81" s="62"/>
    </row>
    <row r="82" customFormat="1" ht="27" customHeight="1" spans="1:27">
      <c r="A82" s="52">
        <f>报关草单!A83</f>
        <v>71</v>
      </c>
      <c r="B82" s="52"/>
      <c r="C82" s="58" t="str">
        <f>报关草单!E83</f>
        <v>聚脂钎维填充物</v>
      </c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69">
        <f>报关草单!AA83</f>
        <v>0</v>
      </c>
      <c r="O82" s="59"/>
      <c r="P82" s="60"/>
      <c r="Q82" s="52">
        <f>报关草单!K83</f>
        <v>6</v>
      </c>
      <c r="R82" s="52"/>
      <c r="S82" s="61">
        <f>报关草单!L104</f>
        <v>0</v>
      </c>
      <c r="T82" s="61"/>
      <c r="U82" s="62">
        <f>报关草单!Z83</f>
        <v>0</v>
      </c>
      <c r="V82" s="62"/>
      <c r="W82" s="62"/>
      <c r="X82" s="62">
        <f>报关草单!M83</f>
        <v>6</v>
      </c>
      <c r="Y82" s="62"/>
      <c r="Z82" s="62"/>
      <c r="AA82" s="62"/>
    </row>
    <row r="83" ht="38" customHeight="1" spans="1:27">
      <c r="A83" s="52" t="s">
        <v>204</v>
      </c>
      <c r="B83" s="52"/>
      <c r="C83" s="70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53">
        <v>15</v>
      </c>
      <c r="O83" s="54"/>
      <c r="P83" s="52"/>
      <c r="Q83" s="52">
        <f>SUM(Q12:Q82)</f>
        <v>226</v>
      </c>
      <c r="R83" s="52"/>
      <c r="S83" s="52"/>
      <c r="T83" s="52"/>
      <c r="U83" s="62">
        <f>SUM(U12:W82)</f>
        <v>267</v>
      </c>
      <c r="V83" s="62"/>
      <c r="W83" s="62"/>
      <c r="X83" s="62">
        <f>SUM(X12:AA82)</f>
        <v>224.815</v>
      </c>
      <c r="Y83" s="62"/>
      <c r="Z83" s="62"/>
      <c r="AA83" s="62"/>
    </row>
    <row r="84" ht="14.25" spans="1:27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ht="14.25" spans="1:27">
      <c r="A85" s="43" t="s">
        <v>178</v>
      </c>
      <c r="B85" s="43"/>
      <c r="C85" s="43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ht="14.25" spans="1:27">
      <c r="A86" s="43" t="s">
        <v>179</v>
      </c>
      <c r="B86" s="43"/>
      <c r="C86" s="43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ht="14.25" spans="1:2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ht="14.25" spans="1:27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ht="14.25" spans="1:27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</sheetData>
  <mergeCells count="478">
    <mergeCell ref="S1:AA1"/>
    <mergeCell ref="S2:U2"/>
    <mergeCell ref="V2:AA2"/>
    <mergeCell ref="S3:U3"/>
    <mergeCell ref="V3:AA3"/>
    <mergeCell ref="S4:U4"/>
    <mergeCell ref="V4:AA4"/>
    <mergeCell ref="A5:R5"/>
    <mergeCell ref="S5:U5"/>
    <mergeCell ref="V5:AA5"/>
    <mergeCell ref="A6:C6"/>
    <mergeCell ref="D6:R6"/>
    <mergeCell ref="S6:U6"/>
    <mergeCell ref="V6:AA6"/>
    <mergeCell ref="A7:C7"/>
    <mergeCell ref="D7:R7"/>
    <mergeCell ref="W7:AA7"/>
    <mergeCell ref="A8:C8"/>
    <mergeCell ref="D8:R8"/>
    <mergeCell ref="S8:V8"/>
    <mergeCell ref="W8:AA8"/>
    <mergeCell ref="A9:C9"/>
    <mergeCell ref="D9:R9"/>
    <mergeCell ref="X9:AA9"/>
    <mergeCell ref="A10:B10"/>
    <mergeCell ref="C10:M10"/>
    <mergeCell ref="N10:P10"/>
    <mergeCell ref="Q10:T10"/>
    <mergeCell ref="U10:W10"/>
    <mergeCell ref="X10:AA10"/>
    <mergeCell ref="A11:B11"/>
    <mergeCell ref="C11:M11"/>
    <mergeCell ref="N11:P11"/>
    <mergeCell ref="Q11:T11"/>
    <mergeCell ref="U11:W11"/>
    <mergeCell ref="X11:AA11"/>
    <mergeCell ref="A12:B12"/>
    <mergeCell ref="C12:M12"/>
    <mergeCell ref="Q12:R12"/>
    <mergeCell ref="S12:T12"/>
    <mergeCell ref="U12:W12"/>
    <mergeCell ref="X12:AA12"/>
    <mergeCell ref="A13:B13"/>
    <mergeCell ref="C13:M13"/>
    <mergeCell ref="Q13:R13"/>
    <mergeCell ref="S13:T13"/>
    <mergeCell ref="U13:W13"/>
    <mergeCell ref="X13:AA13"/>
    <mergeCell ref="A14:B14"/>
    <mergeCell ref="C14:M14"/>
    <mergeCell ref="Q14:R14"/>
    <mergeCell ref="S14:T14"/>
    <mergeCell ref="U14:W14"/>
    <mergeCell ref="X14:AA14"/>
    <mergeCell ref="A15:B15"/>
    <mergeCell ref="C15:M15"/>
    <mergeCell ref="Q15:R15"/>
    <mergeCell ref="S15:T15"/>
    <mergeCell ref="U15:W15"/>
    <mergeCell ref="X15:AA15"/>
    <mergeCell ref="A16:B16"/>
    <mergeCell ref="C16:M16"/>
    <mergeCell ref="Q16:R16"/>
    <mergeCell ref="S16:T16"/>
    <mergeCell ref="U16:W16"/>
    <mergeCell ref="X16:AA16"/>
    <mergeCell ref="A17:B17"/>
    <mergeCell ref="C17:M17"/>
    <mergeCell ref="Q17:R17"/>
    <mergeCell ref="S17:T17"/>
    <mergeCell ref="U17:W17"/>
    <mergeCell ref="X17:AA17"/>
    <mergeCell ref="A18:B18"/>
    <mergeCell ref="C18:M18"/>
    <mergeCell ref="Q18:R18"/>
    <mergeCell ref="S18:T18"/>
    <mergeCell ref="U18:W18"/>
    <mergeCell ref="X18:AA18"/>
    <mergeCell ref="A19:B19"/>
    <mergeCell ref="C19:M19"/>
    <mergeCell ref="Q19:R19"/>
    <mergeCell ref="S19:T19"/>
    <mergeCell ref="U19:W19"/>
    <mergeCell ref="X19:AA19"/>
    <mergeCell ref="A20:B20"/>
    <mergeCell ref="C20:M20"/>
    <mergeCell ref="Q20:R20"/>
    <mergeCell ref="S20:T20"/>
    <mergeCell ref="U20:W20"/>
    <mergeCell ref="X20:AA20"/>
    <mergeCell ref="A21:B21"/>
    <mergeCell ref="C21:M21"/>
    <mergeCell ref="Q21:R21"/>
    <mergeCell ref="S21:T21"/>
    <mergeCell ref="U21:W21"/>
    <mergeCell ref="X21:AA21"/>
    <mergeCell ref="A22:B22"/>
    <mergeCell ref="C22:M22"/>
    <mergeCell ref="Q22:R22"/>
    <mergeCell ref="S22:T22"/>
    <mergeCell ref="U22:W22"/>
    <mergeCell ref="X22:AA22"/>
    <mergeCell ref="A23:B23"/>
    <mergeCell ref="C23:M23"/>
    <mergeCell ref="Q23:R23"/>
    <mergeCell ref="S23:T23"/>
    <mergeCell ref="U23:W23"/>
    <mergeCell ref="X23:AA23"/>
    <mergeCell ref="A24:B24"/>
    <mergeCell ref="C24:M24"/>
    <mergeCell ref="Q24:R24"/>
    <mergeCell ref="S24:T24"/>
    <mergeCell ref="U24:W24"/>
    <mergeCell ref="X24:AA24"/>
    <mergeCell ref="A25:B25"/>
    <mergeCell ref="C25:M25"/>
    <mergeCell ref="Q25:R25"/>
    <mergeCell ref="S25:T25"/>
    <mergeCell ref="U25:W25"/>
    <mergeCell ref="X25:AA25"/>
    <mergeCell ref="A26:B26"/>
    <mergeCell ref="C26:M26"/>
    <mergeCell ref="Q26:R26"/>
    <mergeCell ref="S26:T26"/>
    <mergeCell ref="U26:W26"/>
    <mergeCell ref="X26:AA26"/>
    <mergeCell ref="A27:B27"/>
    <mergeCell ref="C27:M27"/>
    <mergeCell ref="Q27:R27"/>
    <mergeCell ref="S27:T27"/>
    <mergeCell ref="U27:W27"/>
    <mergeCell ref="X27:AA27"/>
    <mergeCell ref="A28:B28"/>
    <mergeCell ref="C28:M28"/>
    <mergeCell ref="Q28:R28"/>
    <mergeCell ref="S28:T28"/>
    <mergeCell ref="U28:W28"/>
    <mergeCell ref="X28:AA28"/>
    <mergeCell ref="A29:B29"/>
    <mergeCell ref="C29:M29"/>
    <mergeCell ref="Q29:R29"/>
    <mergeCell ref="S29:T29"/>
    <mergeCell ref="U29:W29"/>
    <mergeCell ref="X29:AA29"/>
    <mergeCell ref="A30:B30"/>
    <mergeCell ref="C30:M30"/>
    <mergeCell ref="Q30:R30"/>
    <mergeCell ref="S30:T30"/>
    <mergeCell ref="U30:W30"/>
    <mergeCell ref="X30:AA30"/>
    <mergeCell ref="A31:B31"/>
    <mergeCell ref="C31:M31"/>
    <mergeCell ref="Q31:R31"/>
    <mergeCell ref="S31:T31"/>
    <mergeCell ref="U31:W31"/>
    <mergeCell ref="X31:AA31"/>
    <mergeCell ref="A32:B32"/>
    <mergeCell ref="C32:M32"/>
    <mergeCell ref="Q32:R32"/>
    <mergeCell ref="S32:T32"/>
    <mergeCell ref="U32:W32"/>
    <mergeCell ref="X32:AA32"/>
    <mergeCell ref="A33:B33"/>
    <mergeCell ref="C33:M33"/>
    <mergeCell ref="Q33:R33"/>
    <mergeCell ref="S33:T33"/>
    <mergeCell ref="U33:W33"/>
    <mergeCell ref="X33:AA33"/>
    <mergeCell ref="A34:B34"/>
    <mergeCell ref="C34:M34"/>
    <mergeCell ref="Q34:R34"/>
    <mergeCell ref="S34:T34"/>
    <mergeCell ref="U34:W34"/>
    <mergeCell ref="X34:AA34"/>
    <mergeCell ref="A35:B35"/>
    <mergeCell ref="C35:M35"/>
    <mergeCell ref="Q35:R35"/>
    <mergeCell ref="S35:T35"/>
    <mergeCell ref="U35:W35"/>
    <mergeCell ref="X35:AA35"/>
    <mergeCell ref="A36:B36"/>
    <mergeCell ref="C36:M36"/>
    <mergeCell ref="Q36:R36"/>
    <mergeCell ref="S36:T36"/>
    <mergeCell ref="U36:W36"/>
    <mergeCell ref="X36:AA36"/>
    <mergeCell ref="A37:B37"/>
    <mergeCell ref="C37:M37"/>
    <mergeCell ref="Q37:R37"/>
    <mergeCell ref="S37:T37"/>
    <mergeCell ref="U37:W37"/>
    <mergeCell ref="X37:AA37"/>
    <mergeCell ref="A38:B38"/>
    <mergeCell ref="C38:M38"/>
    <mergeCell ref="Q38:R38"/>
    <mergeCell ref="S38:T38"/>
    <mergeCell ref="U38:W38"/>
    <mergeCell ref="X38:AA38"/>
    <mergeCell ref="A39:B39"/>
    <mergeCell ref="C39:M39"/>
    <mergeCell ref="Q39:R39"/>
    <mergeCell ref="S39:T39"/>
    <mergeCell ref="U39:W39"/>
    <mergeCell ref="X39:AA39"/>
    <mergeCell ref="A40:B40"/>
    <mergeCell ref="C40:M40"/>
    <mergeCell ref="Q40:R40"/>
    <mergeCell ref="S40:T40"/>
    <mergeCell ref="U40:W40"/>
    <mergeCell ref="X40:AA40"/>
    <mergeCell ref="A41:B41"/>
    <mergeCell ref="C41:M41"/>
    <mergeCell ref="Q41:R41"/>
    <mergeCell ref="S41:T41"/>
    <mergeCell ref="U41:W41"/>
    <mergeCell ref="X41:AA41"/>
    <mergeCell ref="A42:B42"/>
    <mergeCell ref="C42:M42"/>
    <mergeCell ref="Q42:R42"/>
    <mergeCell ref="S42:T42"/>
    <mergeCell ref="U42:W42"/>
    <mergeCell ref="X42:AA42"/>
    <mergeCell ref="A43:B43"/>
    <mergeCell ref="C43:M43"/>
    <mergeCell ref="Q43:R43"/>
    <mergeCell ref="S43:T43"/>
    <mergeCell ref="U43:W43"/>
    <mergeCell ref="X43:AA43"/>
    <mergeCell ref="A44:B44"/>
    <mergeCell ref="C44:M44"/>
    <mergeCell ref="Q44:R44"/>
    <mergeCell ref="S44:T44"/>
    <mergeCell ref="U44:W44"/>
    <mergeCell ref="X44:AA44"/>
    <mergeCell ref="A45:B45"/>
    <mergeCell ref="C45:M45"/>
    <mergeCell ref="Q45:R45"/>
    <mergeCell ref="S45:T45"/>
    <mergeCell ref="U45:W45"/>
    <mergeCell ref="X45:AA45"/>
    <mergeCell ref="A46:B46"/>
    <mergeCell ref="C46:M46"/>
    <mergeCell ref="Q46:R46"/>
    <mergeCell ref="S46:T46"/>
    <mergeCell ref="U46:W46"/>
    <mergeCell ref="X46:AA46"/>
    <mergeCell ref="A47:B47"/>
    <mergeCell ref="C47:M47"/>
    <mergeCell ref="Q47:R47"/>
    <mergeCell ref="S47:T47"/>
    <mergeCell ref="U47:W47"/>
    <mergeCell ref="X47:AA47"/>
    <mergeCell ref="A48:B48"/>
    <mergeCell ref="C48:M48"/>
    <mergeCell ref="Q48:R48"/>
    <mergeCell ref="S48:T48"/>
    <mergeCell ref="U48:W48"/>
    <mergeCell ref="X48:AA48"/>
    <mergeCell ref="A49:B49"/>
    <mergeCell ref="C49:M49"/>
    <mergeCell ref="Q49:R49"/>
    <mergeCell ref="S49:T49"/>
    <mergeCell ref="U49:W49"/>
    <mergeCell ref="X49:AA49"/>
    <mergeCell ref="A50:B50"/>
    <mergeCell ref="C50:M50"/>
    <mergeCell ref="Q50:R50"/>
    <mergeCell ref="S50:T50"/>
    <mergeCell ref="U50:W50"/>
    <mergeCell ref="X50:AA50"/>
    <mergeCell ref="A51:B51"/>
    <mergeCell ref="C51:M51"/>
    <mergeCell ref="Q51:R51"/>
    <mergeCell ref="S51:T51"/>
    <mergeCell ref="U51:W51"/>
    <mergeCell ref="X51:AA51"/>
    <mergeCell ref="A52:B52"/>
    <mergeCell ref="C52:M52"/>
    <mergeCell ref="Q52:R52"/>
    <mergeCell ref="S52:T52"/>
    <mergeCell ref="U52:W52"/>
    <mergeCell ref="X52:AA52"/>
    <mergeCell ref="A53:B53"/>
    <mergeCell ref="C53:M53"/>
    <mergeCell ref="Q53:R53"/>
    <mergeCell ref="S53:T53"/>
    <mergeCell ref="U53:W53"/>
    <mergeCell ref="X53:AA53"/>
    <mergeCell ref="A54:B54"/>
    <mergeCell ref="C54:M54"/>
    <mergeCell ref="Q54:R54"/>
    <mergeCell ref="S54:T54"/>
    <mergeCell ref="U54:W54"/>
    <mergeCell ref="X54:AA54"/>
    <mergeCell ref="A55:B55"/>
    <mergeCell ref="C55:M55"/>
    <mergeCell ref="Q55:R55"/>
    <mergeCell ref="S55:T55"/>
    <mergeCell ref="U55:W55"/>
    <mergeCell ref="X55:AA55"/>
    <mergeCell ref="A56:B56"/>
    <mergeCell ref="C56:M56"/>
    <mergeCell ref="Q56:R56"/>
    <mergeCell ref="S56:T56"/>
    <mergeCell ref="U56:W56"/>
    <mergeCell ref="X56:AA56"/>
    <mergeCell ref="A57:B57"/>
    <mergeCell ref="C57:M57"/>
    <mergeCell ref="Q57:R57"/>
    <mergeCell ref="S57:T57"/>
    <mergeCell ref="U57:W57"/>
    <mergeCell ref="X57:AA57"/>
    <mergeCell ref="A58:B58"/>
    <mergeCell ref="C58:M58"/>
    <mergeCell ref="Q58:R58"/>
    <mergeCell ref="S58:T58"/>
    <mergeCell ref="U58:W58"/>
    <mergeCell ref="X58:AA58"/>
    <mergeCell ref="A59:B59"/>
    <mergeCell ref="C59:M59"/>
    <mergeCell ref="Q59:R59"/>
    <mergeCell ref="S59:T59"/>
    <mergeCell ref="U59:W59"/>
    <mergeCell ref="X59:AA59"/>
    <mergeCell ref="A60:B60"/>
    <mergeCell ref="C60:M60"/>
    <mergeCell ref="Q60:R60"/>
    <mergeCell ref="S60:T60"/>
    <mergeCell ref="U60:W60"/>
    <mergeCell ref="X60:AA60"/>
    <mergeCell ref="A61:B61"/>
    <mergeCell ref="C61:M61"/>
    <mergeCell ref="Q61:R61"/>
    <mergeCell ref="S61:T61"/>
    <mergeCell ref="U61:W61"/>
    <mergeCell ref="X61:AA61"/>
    <mergeCell ref="A62:B62"/>
    <mergeCell ref="C62:M62"/>
    <mergeCell ref="Q62:R62"/>
    <mergeCell ref="S62:T62"/>
    <mergeCell ref="U62:W62"/>
    <mergeCell ref="X62:AA62"/>
    <mergeCell ref="A63:B63"/>
    <mergeCell ref="C63:M63"/>
    <mergeCell ref="Q63:R63"/>
    <mergeCell ref="S63:T63"/>
    <mergeCell ref="U63:W63"/>
    <mergeCell ref="X63:AA63"/>
    <mergeCell ref="A64:B64"/>
    <mergeCell ref="C64:M64"/>
    <mergeCell ref="Q64:R64"/>
    <mergeCell ref="S64:T64"/>
    <mergeCell ref="U64:W64"/>
    <mergeCell ref="X64:AA64"/>
    <mergeCell ref="A65:B65"/>
    <mergeCell ref="C65:M65"/>
    <mergeCell ref="Q65:R65"/>
    <mergeCell ref="S65:T65"/>
    <mergeCell ref="U65:W65"/>
    <mergeCell ref="X65:AA65"/>
    <mergeCell ref="A66:B66"/>
    <mergeCell ref="C66:M66"/>
    <mergeCell ref="Q66:R66"/>
    <mergeCell ref="S66:T66"/>
    <mergeCell ref="U66:W66"/>
    <mergeCell ref="X66:AA66"/>
    <mergeCell ref="A67:B67"/>
    <mergeCell ref="C67:M67"/>
    <mergeCell ref="Q67:R67"/>
    <mergeCell ref="S67:T67"/>
    <mergeCell ref="U67:W67"/>
    <mergeCell ref="X67:AA67"/>
    <mergeCell ref="A68:B68"/>
    <mergeCell ref="C68:M68"/>
    <mergeCell ref="Q68:R68"/>
    <mergeCell ref="S68:T68"/>
    <mergeCell ref="U68:W68"/>
    <mergeCell ref="X68:AA68"/>
    <mergeCell ref="A69:B69"/>
    <mergeCell ref="C69:M69"/>
    <mergeCell ref="Q69:R69"/>
    <mergeCell ref="S69:T69"/>
    <mergeCell ref="U69:W69"/>
    <mergeCell ref="X69:AA69"/>
    <mergeCell ref="A70:B70"/>
    <mergeCell ref="C70:M70"/>
    <mergeCell ref="Q70:R70"/>
    <mergeCell ref="S70:T70"/>
    <mergeCell ref="U70:W70"/>
    <mergeCell ref="X70:AA70"/>
    <mergeCell ref="A71:B71"/>
    <mergeCell ref="C71:M71"/>
    <mergeCell ref="Q71:R71"/>
    <mergeCell ref="S71:T71"/>
    <mergeCell ref="U71:W71"/>
    <mergeCell ref="X71:AA71"/>
    <mergeCell ref="A72:B72"/>
    <mergeCell ref="C72:M72"/>
    <mergeCell ref="Q72:R72"/>
    <mergeCell ref="S72:T72"/>
    <mergeCell ref="U72:W72"/>
    <mergeCell ref="X72:AA72"/>
    <mergeCell ref="A73:B73"/>
    <mergeCell ref="C73:M73"/>
    <mergeCell ref="Q73:R73"/>
    <mergeCell ref="S73:T73"/>
    <mergeCell ref="U73:W73"/>
    <mergeCell ref="X73:AA73"/>
    <mergeCell ref="A74:B74"/>
    <mergeCell ref="C74:M74"/>
    <mergeCell ref="Q74:R74"/>
    <mergeCell ref="S74:T74"/>
    <mergeCell ref="U74:W74"/>
    <mergeCell ref="X74:AA74"/>
    <mergeCell ref="A75:B75"/>
    <mergeCell ref="C75:M75"/>
    <mergeCell ref="Q75:R75"/>
    <mergeCell ref="S75:T75"/>
    <mergeCell ref="U75:W75"/>
    <mergeCell ref="X75:AA75"/>
    <mergeCell ref="A76:B76"/>
    <mergeCell ref="C76:M76"/>
    <mergeCell ref="Q76:R76"/>
    <mergeCell ref="S76:T76"/>
    <mergeCell ref="U76:W76"/>
    <mergeCell ref="X76:AA76"/>
    <mergeCell ref="A77:B77"/>
    <mergeCell ref="C77:M77"/>
    <mergeCell ref="Q77:R77"/>
    <mergeCell ref="S77:T77"/>
    <mergeCell ref="U77:W77"/>
    <mergeCell ref="X77:AA77"/>
    <mergeCell ref="A78:B78"/>
    <mergeCell ref="C78:M78"/>
    <mergeCell ref="Q78:R78"/>
    <mergeCell ref="S78:T78"/>
    <mergeCell ref="U78:W78"/>
    <mergeCell ref="X78:AA78"/>
    <mergeCell ref="A79:B79"/>
    <mergeCell ref="C79:M79"/>
    <mergeCell ref="Q79:R79"/>
    <mergeCell ref="S79:T79"/>
    <mergeCell ref="U79:W79"/>
    <mergeCell ref="X79:AA79"/>
    <mergeCell ref="A80:B80"/>
    <mergeCell ref="C80:M80"/>
    <mergeCell ref="Q80:R80"/>
    <mergeCell ref="S80:T80"/>
    <mergeCell ref="U80:W80"/>
    <mergeCell ref="X80:AA80"/>
    <mergeCell ref="A81:B81"/>
    <mergeCell ref="C81:M81"/>
    <mergeCell ref="Q81:R81"/>
    <mergeCell ref="S81:T81"/>
    <mergeCell ref="U81:W81"/>
    <mergeCell ref="X81:AA81"/>
    <mergeCell ref="A82:B82"/>
    <mergeCell ref="C82:M82"/>
    <mergeCell ref="Q82:R82"/>
    <mergeCell ref="S82:T82"/>
    <mergeCell ref="U82:W82"/>
    <mergeCell ref="X82:AA82"/>
    <mergeCell ref="A83:B83"/>
    <mergeCell ref="C83:M83"/>
    <mergeCell ref="N83:P83"/>
    <mergeCell ref="Q83:R83"/>
    <mergeCell ref="S83:T83"/>
    <mergeCell ref="U83:W83"/>
    <mergeCell ref="X83:AA83"/>
    <mergeCell ref="A84:AA84"/>
    <mergeCell ref="A85:C85"/>
    <mergeCell ref="D85:AA85"/>
    <mergeCell ref="A86:C86"/>
    <mergeCell ref="D86:AA86"/>
    <mergeCell ref="A87:AA87"/>
    <mergeCell ref="A88:AA88"/>
    <mergeCell ref="A89:AA89"/>
    <mergeCell ref="A1:R4"/>
  </mergeCells>
  <pageMargins left="0.75" right="0.75" top="1" bottom="1" header="0.5" footer="0.5"/>
  <pageSetup paperSize="9" scale="4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1"/>
  <sheetViews>
    <sheetView topLeftCell="A3" workbookViewId="0">
      <selection activeCell="M13" sqref="M13:M20"/>
    </sheetView>
  </sheetViews>
  <sheetFormatPr defaultColWidth="5.88333333333333" defaultRowHeight="13.5"/>
  <cols>
    <col min="1" max="1" width="5.88333333333333" style="2" customWidth="1"/>
    <col min="2" max="2" width="11.5" style="2" customWidth="1"/>
    <col min="3" max="3" width="4.85" style="2" customWidth="1"/>
    <col min="4" max="4" width="7.08333333333333" style="2" customWidth="1"/>
    <col min="5" max="5" width="5.88333333333333" style="2" customWidth="1"/>
    <col min="6" max="6" width="9" style="2" customWidth="1"/>
    <col min="7" max="7" width="6.63333333333333" style="2" customWidth="1"/>
    <col min="8" max="8" width="8.25" style="2" customWidth="1"/>
    <col min="9" max="9" width="8.38333333333333" style="2" customWidth="1"/>
    <col min="10" max="10" width="28.3333333333333" style="2" customWidth="1"/>
    <col min="11" max="11" width="15.875" style="2" customWidth="1"/>
    <col min="12" max="12" width="9.125" style="2" customWidth="1"/>
    <col min="13" max="13" width="8.5" style="2" customWidth="1"/>
    <col min="14" max="14" width="6.66666666666667" style="2" customWidth="1"/>
    <col min="15" max="15" width="8.19166666666667" style="2" customWidth="1"/>
    <col min="16" max="16" width="8.46666666666667" style="2" customWidth="1"/>
    <col min="17" max="17" width="10.25" style="2" customWidth="1"/>
    <col min="18" max="18" width="7.25" style="2" customWidth="1"/>
    <col min="19" max="19" width="9.85833333333333" style="2" customWidth="1"/>
    <col min="20" max="20" width="7.91666666666667" style="2" customWidth="1"/>
    <col min="21" max="21" width="5" style="2" customWidth="1"/>
    <col min="22" max="22" width="7.25" style="2" customWidth="1"/>
    <col min="23" max="26" width="5.88333333333333" style="2" customWidth="1"/>
    <col min="27" max="27" width="9" style="2" customWidth="1"/>
    <col min="28" max="28" width="6.375" style="2" customWidth="1"/>
    <col min="29" max="29" width="5.69166666666667" style="2" customWidth="1"/>
    <col min="30" max="16384" width="5.88333333333333" style="2" customWidth="1"/>
  </cols>
  <sheetData>
    <row r="1" s="1" customFormat="1" ht="52" customHeight="1" spans="1:2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  <c r="AA1" s="3"/>
    </row>
    <row r="2" s="1" customFormat="1" ht="18" customHeight="1" spans="1:29">
      <c r="A2" s="5" t="s">
        <v>1</v>
      </c>
      <c r="B2" s="5"/>
      <c r="C2" s="5"/>
      <c r="D2" s="5"/>
      <c r="E2" s="5"/>
      <c r="F2" s="5"/>
      <c r="G2" s="5"/>
      <c r="H2" s="5"/>
      <c r="I2" s="5"/>
      <c r="J2" s="5" t="s">
        <v>2</v>
      </c>
      <c r="K2" s="5"/>
      <c r="L2" s="5"/>
      <c r="M2" s="5"/>
      <c r="N2" s="5"/>
      <c r="O2" s="5"/>
      <c r="P2" s="5" t="s">
        <v>3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="1" customFormat="1" ht="30" customHeight="1" spans="1:29">
      <c r="A3" s="6" t="s">
        <v>4</v>
      </c>
      <c r="B3" s="6"/>
      <c r="C3" s="6" t="s">
        <v>5</v>
      </c>
      <c r="D3" s="6"/>
      <c r="E3" s="6"/>
      <c r="F3" s="6"/>
      <c r="G3" s="6"/>
      <c r="H3" s="7" t="s">
        <v>6</v>
      </c>
      <c r="I3" s="7"/>
      <c r="J3" s="7"/>
      <c r="K3" s="7"/>
      <c r="L3" s="7"/>
      <c r="M3" s="6" t="s">
        <v>7</v>
      </c>
      <c r="N3" s="6"/>
      <c r="O3" s="6"/>
      <c r="P3" s="8">
        <v>46212</v>
      </c>
      <c r="Q3" s="8"/>
      <c r="R3" s="8"/>
      <c r="S3" s="6" t="s">
        <v>8</v>
      </c>
      <c r="T3" s="6"/>
      <c r="U3" s="6"/>
      <c r="V3" s="6"/>
      <c r="W3" s="6" t="s">
        <v>9</v>
      </c>
      <c r="X3" s="6"/>
      <c r="Y3" s="6"/>
      <c r="Z3" s="6"/>
      <c r="AA3" s="6"/>
    </row>
    <row r="4" s="1" customFormat="1" ht="36" customHeight="1" spans="1:29">
      <c r="A4" s="7" t="s">
        <v>10</v>
      </c>
      <c r="B4" s="7"/>
      <c r="C4" s="7" t="s">
        <v>11</v>
      </c>
      <c r="D4" s="7"/>
      <c r="E4" s="7"/>
      <c r="F4" s="7"/>
      <c r="G4" s="7"/>
      <c r="H4" s="7" t="s">
        <v>12</v>
      </c>
      <c r="I4" s="7"/>
      <c r="J4" s="7" t="s">
        <v>205</v>
      </c>
      <c r="K4" s="7"/>
      <c r="L4" s="7"/>
      <c r="M4" s="6" t="s">
        <v>14</v>
      </c>
      <c r="N4" s="6"/>
      <c r="O4" s="6"/>
      <c r="P4" s="6"/>
      <c r="Q4" s="6"/>
      <c r="R4" s="6"/>
      <c r="S4" s="6" t="s">
        <v>15</v>
      </c>
      <c r="T4" s="6"/>
      <c r="U4" s="6"/>
      <c r="V4" s="6"/>
      <c r="W4" s="6"/>
      <c r="X4" s="6"/>
      <c r="Y4" s="6"/>
      <c r="Z4" s="6"/>
      <c r="AA4" s="6"/>
    </row>
    <row r="5" s="1" customFormat="1" ht="30" customHeight="1" spans="1:29">
      <c r="A5" s="6" t="s">
        <v>16</v>
      </c>
      <c r="B5" s="6"/>
      <c r="C5" s="6" t="str">
        <f>C3</f>
        <v>深圳市亿莱沃实业有限公司</v>
      </c>
      <c r="D5" s="6"/>
      <c r="E5" s="6"/>
      <c r="F5" s="6"/>
      <c r="G5" s="6"/>
      <c r="H5" s="7" t="s">
        <v>17</v>
      </c>
      <c r="I5" s="7"/>
      <c r="J5" s="7" t="s">
        <v>18</v>
      </c>
      <c r="K5" s="7"/>
      <c r="L5" s="7"/>
      <c r="M5" s="6" t="s">
        <v>19</v>
      </c>
      <c r="N5" s="6"/>
      <c r="O5" s="6"/>
      <c r="P5" s="6" t="s">
        <v>20</v>
      </c>
      <c r="Q5" s="6"/>
      <c r="R5" s="6"/>
      <c r="S5" s="6" t="s">
        <v>21</v>
      </c>
      <c r="T5" s="6"/>
      <c r="U5" s="6"/>
      <c r="V5" s="6"/>
      <c r="W5" s="6"/>
      <c r="X5" s="6"/>
      <c r="Y5" s="6"/>
      <c r="Z5" s="6"/>
      <c r="AA5" s="6"/>
    </row>
    <row r="6" s="1" customFormat="1" ht="30" customHeight="1" spans="1:29">
      <c r="A6" s="6" t="s">
        <v>22</v>
      </c>
      <c r="B6" s="6"/>
      <c r="C6" s="6" t="str">
        <f>+报关草单!C6</f>
        <v>YLW-20260709001</v>
      </c>
      <c r="D6" s="6"/>
      <c r="E6" s="6"/>
      <c r="F6" s="6"/>
      <c r="G6" s="6"/>
      <c r="H6" s="7" t="s">
        <v>24</v>
      </c>
      <c r="I6" s="7"/>
      <c r="J6" s="7" t="s">
        <v>25</v>
      </c>
      <c r="K6" s="7"/>
      <c r="L6" s="7"/>
      <c r="M6" s="6" t="s">
        <v>26</v>
      </c>
      <c r="N6" s="6"/>
      <c r="O6" s="6"/>
      <c r="P6" s="6" t="s">
        <v>27</v>
      </c>
      <c r="Q6" s="6"/>
      <c r="R6" s="6"/>
      <c r="S6" s="6" t="s">
        <v>28</v>
      </c>
      <c r="T6" s="6"/>
      <c r="U6" s="6"/>
      <c r="V6" s="6"/>
      <c r="W6" s="7" t="s">
        <v>29</v>
      </c>
      <c r="X6" s="7"/>
      <c r="Y6" s="7"/>
      <c r="Z6" s="7"/>
      <c r="AA6" s="7"/>
    </row>
    <row r="7" s="1" customFormat="1" ht="31" customHeight="1" spans="1:29">
      <c r="A7" s="7" t="s">
        <v>30</v>
      </c>
      <c r="B7" s="7"/>
      <c r="C7" s="7" t="s">
        <v>31</v>
      </c>
      <c r="D7" s="7"/>
      <c r="E7" s="7"/>
      <c r="F7" s="6" t="s">
        <v>32</v>
      </c>
      <c r="G7" s="6" t="s">
        <v>33</v>
      </c>
      <c r="H7" s="6"/>
      <c r="I7" s="6" t="s">
        <v>34</v>
      </c>
      <c r="J7" s="6" t="s">
        <v>35</v>
      </c>
      <c r="K7" s="6"/>
      <c r="L7" s="6"/>
      <c r="M7" s="6" t="s">
        <v>36</v>
      </c>
      <c r="N7" s="9" t="s">
        <v>37</v>
      </c>
      <c r="O7" s="9"/>
      <c r="P7" s="6" t="s">
        <v>38</v>
      </c>
      <c r="Q7" s="6" t="s">
        <v>39</v>
      </c>
      <c r="R7" s="6"/>
      <c r="S7" s="6" t="s">
        <v>40</v>
      </c>
      <c r="T7" s="6"/>
      <c r="U7" s="6" t="s">
        <v>41</v>
      </c>
      <c r="V7" s="6"/>
      <c r="W7" s="6"/>
      <c r="X7" s="6"/>
      <c r="Y7" s="6" t="s">
        <v>42</v>
      </c>
      <c r="Z7" s="6"/>
      <c r="AA7" s="6"/>
    </row>
    <row r="8" s="1" customFormat="1" ht="20" customHeight="1" spans="1:29">
      <c r="A8" s="10" t="s">
        <v>43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="1" customFormat="1" ht="21" customHeight="1" spans="1:29">
      <c r="A9" s="10" t="s">
        <v>44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="1" customFormat="1" ht="14.25" spans="1:29">
      <c r="A10" s="10" t="s">
        <v>45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="1" customFormat="1" ht="21" customHeight="1" spans="1:29">
      <c r="A11" s="11" t="s">
        <v>46</v>
      </c>
      <c r="B11" s="11"/>
      <c r="C11" s="11"/>
      <c r="D11" s="12" t="s">
        <v>47</v>
      </c>
      <c r="E11" s="11" t="s">
        <v>48</v>
      </c>
      <c r="F11" s="11"/>
      <c r="G11" s="11"/>
      <c r="H11" s="12" t="s">
        <v>47</v>
      </c>
      <c r="I11" s="12"/>
      <c r="J11" s="11" t="s">
        <v>49</v>
      </c>
      <c r="K11" s="11"/>
      <c r="L11" s="11"/>
      <c r="M11" s="11"/>
      <c r="N11" s="12" t="s">
        <v>47</v>
      </c>
      <c r="O11" s="12"/>
      <c r="P11" s="11" t="s">
        <v>50</v>
      </c>
      <c r="Q11" s="12" t="s">
        <v>47</v>
      </c>
      <c r="R11" s="12"/>
      <c r="S11" s="13" t="s">
        <v>51</v>
      </c>
      <c r="T11" s="14" t="s">
        <v>52</v>
      </c>
      <c r="U11" s="14"/>
      <c r="V11" s="14"/>
      <c r="W11" s="14"/>
      <c r="X11" s="14"/>
      <c r="Y11" s="14"/>
      <c r="Z11" s="14"/>
      <c r="AA11" s="14"/>
    </row>
    <row r="12" s="1" customFormat="1" ht="19" customHeight="1" spans="1:29">
      <c r="A12" s="9" t="s">
        <v>53</v>
      </c>
      <c r="B12" s="6" t="s">
        <v>54</v>
      </c>
      <c r="C12" s="6"/>
      <c r="D12" s="6" t="s">
        <v>55</v>
      </c>
      <c r="E12" s="9" t="s">
        <v>56</v>
      </c>
      <c r="F12" s="9"/>
      <c r="G12" s="9" t="s">
        <v>57</v>
      </c>
      <c r="H12" s="9"/>
      <c r="I12" s="9"/>
      <c r="J12" s="9"/>
      <c r="K12" s="9" t="s">
        <v>206</v>
      </c>
      <c r="L12" s="9" t="s">
        <v>207</v>
      </c>
      <c r="M12" s="15" t="s">
        <v>58</v>
      </c>
      <c r="N12" s="15" t="s">
        <v>59</v>
      </c>
      <c r="O12" s="15" t="s">
        <v>36</v>
      </c>
      <c r="P12" s="16" t="s">
        <v>60</v>
      </c>
      <c r="Q12" s="15" t="s">
        <v>61</v>
      </c>
      <c r="R12" s="15" t="s">
        <v>62</v>
      </c>
      <c r="S12" s="9" t="s">
        <v>63</v>
      </c>
      <c r="T12" s="9"/>
      <c r="U12" s="17" t="s">
        <v>64</v>
      </c>
      <c r="V12" s="17"/>
      <c r="W12" s="17"/>
      <c r="X12" s="17" t="s">
        <v>65</v>
      </c>
      <c r="Y12" s="17"/>
      <c r="Z12" s="17"/>
      <c r="AA12" s="15" t="s">
        <v>66</v>
      </c>
      <c r="AB12" s="18" t="s">
        <v>34</v>
      </c>
      <c r="AC12" s="19" t="s">
        <v>32</v>
      </c>
    </row>
    <row r="13" s="2" customFormat="1" ht="40.5" spans="1:29">
      <c r="A13" s="20">
        <v>1</v>
      </c>
      <c r="B13" s="21">
        <v>4008210000</v>
      </c>
      <c r="C13" s="21"/>
      <c r="D13" s="6"/>
      <c r="E13" s="21" t="s">
        <v>75</v>
      </c>
      <c r="F13" s="21"/>
      <c r="G13" s="22" t="str">
        <f>+发票!D15</f>
        <v>黑色柳叶橡胶垫3MM厚度 1*1.5米</v>
      </c>
      <c r="H13" s="22"/>
      <c r="I13" s="22"/>
      <c r="J13" s="22"/>
      <c r="K13" s="22" t="s">
        <v>208</v>
      </c>
      <c r="L13" s="22" t="s">
        <v>209</v>
      </c>
      <c r="M13" s="23">
        <v>3</v>
      </c>
      <c r="N13" s="23" t="s">
        <v>70</v>
      </c>
      <c r="O13" s="23">
        <f>3*5.005</f>
        <v>15.015</v>
      </c>
      <c r="P13" s="24">
        <f>+发票!S15</f>
        <v>6.58337</v>
      </c>
      <c r="Q13" s="15">
        <f t="shared" ref="Q13:Q20" si="0">M13*P13</f>
        <v>19.75011</v>
      </c>
      <c r="R13" s="15" t="s">
        <v>71</v>
      </c>
      <c r="S13" s="9" t="s">
        <v>72</v>
      </c>
      <c r="T13" s="9"/>
      <c r="U13" s="17" t="s">
        <v>27</v>
      </c>
      <c r="V13" s="17"/>
      <c r="W13" s="17"/>
      <c r="X13" s="17" t="s">
        <v>77</v>
      </c>
      <c r="Y13" s="17"/>
      <c r="Z13" s="17"/>
      <c r="AA13" s="15" t="s">
        <v>66</v>
      </c>
      <c r="AB13" s="25"/>
      <c r="AC13" s="26">
        <v>27</v>
      </c>
    </row>
    <row r="14" s="2" customFormat="1" ht="25" customHeight="1" spans="1:29">
      <c r="A14" s="20">
        <v>2</v>
      </c>
      <c r="B14" s="21">
        <v>3824999999</v>
      </c>
      <c r="C14" s="21">
        <v>8302490099</v>
      </c>
      <c r="D14" s="6"/>
      <c r="E14" s="21" t="s">
        <v>79</v>
      </c>
      <c r="F14" s="21" t="s">
        <v>92</v>
      </c>
      <c r="G14" s="22" t="str">
        <f>+发票!D16</f>
        <v>透明掺黄色（20%）干燥剂 吸水后变绿色 50g 16包装</v>
      </c>
      <c r="H14" s="22"/>
      <c r="I14" s="22"/>
      <c r="J14" s="22"/>
      <c r="K14" s="22" t="s">
        <v>210</v>
      </c>
      <c r="L14" s="22" t="s">
        <v>211</v>
      </c>
      <c r="M14" s="23">
        <v>20</v>
      </c>
      <c r="N14" s="23" t="s">
        <v>90</v>
      </c>
      <c r="O14" s="23">
        <f>20*800/1000</f>
        <v>16</v>
      </c>
      <c r="P14" s="24">
        <f>+发票!S16</f>
        <v>2.24</v>
      </c>
      <c r="Q14" s="15">
        <f t="shared" si="0"/>
        <v>44.8</v>
      </c>
      <c r="R14" s="15" t="s">
        <v>71</v>
      </c>
      <c r="S14" s="9" t="s">
        <v>72</v>
      </c>
      <c r="T14" s="9"/>
      <c r="U14" s="17" t="s">
        <v>27</v>
      </c>
      <c r="V14" s="17"/>
      <c r="W14" s="17"/>
      <c r="X14" s="17" t="s">
        <v>81</v>
      </c>
      <c r="Y14" s="17"/>
      <c r="Z14" s="17"/>
      <c r="AA14" s="15" t="s">
        <v>66</v>
      </c>
      <c r="AB14" s="25"/>
      <c r="AC14" s="27"/>
    </row>
    <row r="15" s="2" customFormat="1" ht="25" customHeight="1" spans="1:29">
      <c r="A15" s="20">
        <v>3</v>
      </c>
      <c r="B15" s="21">
        <v>5601229000</v>
      </c>
      <c r="C15" s="21">
        <v>7616999099</v>
      </c>
      <c r="D15" s="6"/>
      <c r="E15" s="21" t="s">
        <v>85</v>
      </c>
      <c r="F15" s="21" t="s">
        <v>212</v>
      </c>
      <c r="G15" s="22" t="str">
        <f>+发票!D17</f>
        <v>过滤棉家纺棉170g 0.68m*2m*15mm</v>
      </c>
      <c r="H15" s="22"/>
      <c r="I15" s="22"/>
      <c r="J15" s="22"/>
      <c r="K15" s="22" t="s">
        <v>213</v>
      </c>
      <c r="L15" s="22" t="s">
        <v>214</v>
      </c>
      <c r="M15" s="23">
        <v>30</v>
      </c>
      <c r="N15" s="23" t="s">
        <v>70</v>
      </c>
      <c r="O15" s="23">
        <f>30*0.27</f>
        <v>8.1</v>
      </c>
      <c r="P15" s="24">
        <f>+发票!S17</f>
        <v>2.06088</v>
      </c>
      <c r="Q15" s="15">
        <f t="shared" si="0"/>
        <v>61.8264</v>
      </c>
      <c r="R15" s="15" t="s">
        <v>71</v>
      </c>
      <c r="S15" s="9" t="s">
        <v>72</v>
      </c>
      <c r="T15" s="9"/>
      <c r="U15" s="17" t="s">
        <v>27</v>
      </c>
      <c r="V15" s="17"/>
      <c r="W15" s="17"/>
      <c r="X15" s="17" t="s">
        <v>87</v>
      </c>
      <c r="Y15" s="17"/>
      <c r="Z15" s="17"/>
      <c r="AA15" s="15" t="s">
        <v>66</v>
      </c>
      <c r="AB15" s="25"/>
      <c r="AC15" s="27"/>
    </row>
    <row r="16" s="2" customFormat="1" ht="25" customHeight="1" spans="1:29">
      <c r="A16" s="20">
        <v>4</v>
      </c>
      <c r="B16" s="21">
        <v>5601229000</v>
      </c>
      <c r="C16" s="21">
        <v>7616999099</v>
      </c>
      <c r="D16" s="6"/>
      <c r="E16" s="21" t="s">
        <v>85</v>
      </c>
      <c r="F16" s="21" t="s">
        <v>212</v>
      </c>
      <c r="G16" s="22" t="str">
        <f>+发票!D18</f>
        <v>颗粒棉 1KG 尺寸37*25*10</v>
      </c>
      <c r="H16" s="22"/>
      <c r="I16" s="22"/>
      <c r="J16" s="22"/>
      <c r="K16" s="22" t="s">
        <v>213</v>
      </c>
      <c r="L16" s="22" t="s">
        <v>215</v>
      </c>
      <c r="M16" s="23">
        <v>58</v>
      </c>
      <c r="N16" s="23" t="s">
        <v>70</v>
      </c>
      <c r="O16" s="23">
        <v>58</v>
      </c>
      <c r="P16" s="24">
        <f>+发票!S18</f>
        <v>3.8379</v>
      </c>
      <c r="Q16" s="24">
        <f t="shared" si="0"/>
        <v>222.5982</v>
      </c>
      <c r="R16" s="15" t="s">
        <v>71</v>
      </c>
      <c r="S16" s="9" t="s">
        <v>72</v>
      </c>
      <c r="T16" s="9"/>
      <c r="U16" s="17" t="s">
        <v>27</v>
      </c>
      <c r="V16" s="17"/>
      <c r="W16" s="17"/>
      <c r="X16" s="17" t="s">
        <v>87</v>
      </c>
      <c r="Y16" s="17"/>
      <c r="Z16" s="17"/>
      <c r="AA16" s="15" t="s">
        <v>66</v>
      </c>
      <c r="AB16" s="25"/>
      <c r="AC16" s="27"/>
    </row>
    <row r="17" s="2" customFormat="1" ht="35" customHeight="1" spans="1:29">
      <c r="A17" s="20">
        <v>5</v>
      </c>
      <c r="B17" s="21">
        <v>4008110000</v>
      </c>
      <c r="C17" s="21">
        <v>3926909790</v>
      </c>
      <c r="D17" s="6"/>
      <c r="E17" s="21" t="s">
        <v>68</v>
      </c>
      <c r="F17" s="21" t="s">
        <v>75</v>
      </c>
      <c r="G17" s="22" t="str">
        <f>+发票!D19</f>
        <v>隔音棉
5MM 5米*40CM</v>
      </c>
      <c r="H17" s="22"/>
      <c r="I17" s="22"/>
      <c r="J17" s="22"/>
      <c r="K17" s="22" t="s">
        <v>216</v>
      </c>
      <c r="L17" s="22" t="s">
        <v>217</v>
      </c>
      <c r="M17" s="23">
        <v>22</v>
      </c>
      <c r="N17" s="23" t="s">
        <v>70</v>
      </c>
      <c r="O17" s="23">
        <f>22*1.35</f>
        <v>29.7</v>
      </c>
      <c r="P17" s="24">
        <f>+发票!S19</f>
        <v>7.17</v>
      </c>
      <c r="Q17" s="15">
        <f t="shared" si="0"/>
        <v>157.74</v>
      </c>
      <c r="R17" s="15" t="s">
        <v>71</v>
      </c>
      <c r="S17" s="9" t="s">
        <v>72</v>
      </c>
      <c r="T17" s="9"/>
      <c r="U17" s="17" t="s">
        <v>27</v>
      </c>
      <c r="V17" s="17"/>
      <c r="W17" s="17"/>
      <c r="X17" s="17" t="s">
        <v>73</v>
      </c>
      <c r="Y17" s="17"/>
      <c r="Z17" s="17"/>
      <c r="AA17" s="15" t="s">
        <v>66</v>
      </c>
      <c r="AB17" s="25"/>
      <c r="AC17" s="28"/>
    </row>
    <row r="18" s="2" customFormat="1" ht="25" customHeight="1" spans="1:29">
      <c r="A18" s="20">
        <v>6</v>
      </c>
      <c r="B18" s="21">
        <v>3824999999</v>
      </c>
      <c r="C18" s="21">
        <v>8302490099</v>
      </c>
      <c r="D18" s="6"/>
      <c r="E18" s="21" t="s">
        <v>79</v>
      </c>
      <c r="F18" s="21" t="s">
        <v>92</v>
      </c>
      <c r="G18" s="22" t="str">
        <f>+发票!D20</f>
        <v>桶装2KG 纯黄色干燥剂</v>
      </c>
      <c r="H18" s="22"/>
      <c r="I18" s="22"/>
      <c r="J18" s="22"/>
      <c r="K18" s="22" t="s">
        <v>210</v>
      </c>
      <c r="L18" s="22" t="s">
        <v>218</v>
      </c>
      <c r="M18" s="23">
        <v>31</v>
      </c>
      <c r="N18" s="23" t="s">
        <v>134</v>
      </c>
      <c r="O18" s="23">
        <v>62</v>
      </c>
      <c r="P18" s="24">
        <f>+发票!S20</f>
        <v>8.159</v>
      </c>
      <c r="Q18" s="15">
        <f t="shared" si="0"/>
        <v>252.929</v>
      </c>
      <c r="R18" s="15" t="s">
        <v>71</v>
      </c>
      <c r="S18" s="9" t="s">
        <v>72</v>
      </c>
      <c r="T18" s="9"/>
      <c r="U18" s="17" t="s">
        <v>27</v>
      </c>
      <c r="V18" s="17"/>
      <c r="W18" s="17"/>
      <c r="X18" s="17" t="s">
        <v>81</v>
      </c>
      <c r="Y18" s="17"/>
      <c r="Z18" s="17"/>
      <c r="AA18" s="15" t="s">
        <v>66</v>
      </c>
      <c r="AB18" s="25"/>
      <c r="AC18" s="28"/>
    </row>
    <row r="19" s="2" customFormat="1" ht="25" customHeight="1" spans="1:29">
      <c r="A19" s="20">
        <v>7</v>
      </c>
      <c r="B19" s="21">
        <v>3824999999</v>
      </c>
      <c r="C19" s="21">
        <v>8302490099</v>
      </c>
      <c r="D19" s="6"/>
      <c r="E19" s="29" t="s">
        <v>79</v>
      </c>
      <c r="F19" s="30"/>
      <c r="G19" s="22" t="str">
        <f>+发票!D21</f>
        <v>桶装1KG 纯黄色干燥剂</v>
      </c>
      <c r="H19" s="22"/>
      <c r="I19" s="22"/>
      <c r="J19" s="22"/>
      <c r="K19" s="22" t="s">
        <v>210</v>
      </c>
      <c r="L19" s="22" t="s">
        <v>211</v>
      </c>
      <c r="M19" s="31">
        <v>10</v>
      </c>
      <c r="N19" s="31" t="s">
        <v>134</v>
      </c>
      <c r="O19" s="31">
        <v>10</v>
      </c>
      <c r="P19" s="24">
        <f>+发票!S21</f>
        <v>3.525</v>
      </c>
      <c r="Q19" s="15">
        <f t="shared" si="0"/>
        <v>35.25</v>
      </c>
      <c r="R19" s="15" t="s">
        <v>71</v>
      </c>
      <c r="S19" s="9" t="s">
        <v>72</v>
      </c>
      <c r="T19" s="9"/>
      <c r="U19" s="17" t="s">
        <v>27</v>
      </c>
      <c r="V19" s="17"/>
      <c r="W19" s="17"/>
      <c r="X19" s="17" t="s">
        <v>81</v>
      </c>
      <c r="Y19" s="17"/>
      <c r="Z19" s="17"/>
      <c r="AA19" s="15" t="s">
        <v>66</v>
      </c>
      <c r="AB19" s="25"/>
      <c r="AC19" s="28"/>
    </row>
    <row r="20" s="2" customFormat="1" ht="25" customHeight="1" spans="1:29">
      <c r="A20" s="20"/>
      <c r="B20" s="29">
        <v>8302490000</v>
      </c>
      <c r="C20" s="30"/>
      <c r="D20" s="6"/>
      <c r="E20" s="29" t="s">
        <v>92</v>
      </c>
      <c r="F20" s="30"/>
      <c r="G20" s="22" t="str">
        <f>+发票!D22</f>
        <v>屋顶杆天窗开窗器管径2CM5节1.86M黑色</v>
      </c>
      <c r="H20" s="22"/>
      <c r="I20" s="22"/>
      <c r="J20" s="22"/>
      <c r="K20" s="22" t="s">
        <v>219</v>
      </c>
      <c r="L20" s="22" t="s">
        <v>220</v>
      </c>
      <c r="M20" s="31">
        <v>52</v>
      </c>
      <c r="N20" s="31" t="s">
        <v>177</v>
      </c>
      <c r="O20" s="31">
        <f>52*500/1000</f>
        <v>26</v>
      </c>
      <c r="P20" s="24">
        <v>5.14</v>
      </c>
      <c r="Q20" s="15">
        <f t="shared" si="0"/>
        <v>267.28</v>
      </c>
      <c r="R20" s="15" t="s">
        <v>71</v>
      </c>
      <c r="S20" s="9" t="s">
        <v>72</v>
      </c>
      <c r="T20" s="9"/>
      <c r="U20" s="17" t="s">
        <v>27</v>
      </c>
      <c r="V20" s="17"/>
      <c r="W20" s="17"/>
      <c r="X20" s="17" t="s">
        <v>94</v>
      </c>
      <c r="Y20" s="17"/>
      <c r="Z20" s="17"/>
      <c r="AA20" s="15" t="s">
        <v>66</v>
      </c>
      <c r="AB20" s="25"/>
      <c r="AC20" s="28"/>
    </row>
    <row r="21" s="2" customFormat="1" ht="29" customHeight="1" spans="1:29">
      <c r="A21" s="20"/>
      <c r="B21" s="29"/>
      <c r="C21" s="30"/>
      <c r="D21" s="32"/>
      <c r="E21" s="33" t="s">
        <v>221</v>
      </c>
      <c r="F21" s="34"/>
      <c r="G21" s="33"/>
      <c r="H21" s="35"/>
      <c r="I21" s="35"/>
      <c r="J21" s="34"/>
      <c r="K21" s="32"/>
      <c r="L21" s="32"/>
      <c r="M21" s="15">
        <f>SUM(M13:M20)</f>
        <v>226</v>
      </c>
      <c r="N21" s="36" t="s">
        <v>36</v>
      </c>
      <c r="O21" s="37">
        <f>SUM(O13:O20)</f>
        <v>224.815</v>
      </c>
      <c r="P21" s="38" t="s">
        <v>97</v>
      </c>
      <c r="Q21" s="24">
        <f>SUM(Q13:Q20)</f>
        <v>1062.17371</v>
      </c>
      <c r="R21" s="39" t="s">
        <v>71</v>
      </c>
      <c r="S21" s="9"/>
      <c r="T21" s="9"/>
      <c r="U21" s="9"/>
      <c r="V21" s="9"/>
      <c r="W21" s="9"/>
      <c r="X21" s="9"/>
      <c r="Y21" s="9"/>
      <c r="Z21" s="9"/>
      <c r="AA21" s="9"/>
      <c r="AB21" s="40">
        <v>422.9</v>
      </c>
      <c r="AC21" s="40">
        <v>27</v>
      </c>
    </row>
  </sheetData>
  <protectedRanges>
    <protectedRange sqref="C6:S6" name="区域1"/>
  </protectedRanges>
  <mergeCells count="115">
    <mergeCell ref="A1:AA1"/>
    <mergeCell ref="A2:B2"/>
    <mergeCell ref="C2:I2"/>
    <mergeCell ref="M2:O2"/>
    <mergeCell ref="Q2:AA2"/>
    <mergeCell ref="A3:B3"/>
    <mergeCell ref="C3:G3"/>
    <mergeCell ref="H3:I3"/>
    <mergeCell ref="M3:O3"/>
    <mergeCell ref="P3:R3"/>
    <mergeCell ref="T3:V3"/>
    <mergeCell ref="W3:AA3"/>
    <mergeCell ref="A4:B4"/>
    <mergeCell ref="C4:G4"/>
    <mergeCell ref="H4:I4"/>
    <mergeCell ref="M4:O4"/>
    <mergeCell ref="P4:R4"/>
    <mergeCell ref="S4:V4"/>
    <mergeCell ref="W4:AA4"/>
    <mergeCell ref="A5:B5"/>
    <mergeCell ref="C5:G5"/>
    <mergeCell ref="H5:I5"/>
    <mergeCell ref="M5:O5"/>
    <mergeCell ref="P5:R5"/>
    <mergeCell ref="S5:V5"/>
    <mergeCell ref="W5:AA5"/>
    <mergeCell ref="A6:B6"/>
    <mergeCell ref="C6:G6"/>
    <mergeCell ref="H6:I6"/>
    <mergeCell ref="M6:O6"/>
    <mergeCell ref="P6:R6"/>
    <mergeCell ref="S6:T6"/>
    <mergeCell ref="U6:V6"/>
    <mergeCell ref="W6:Y6"/>
    <mergeCell ref="Z6:AA6"/>
    <mergeCell ref="A7:B7"/>
    <mergeCell ref="C7:E7"/>
    <mergeCell ref="G7:H7"/>
    <mergeCell ref="N7:O7"/>
    <mergeCell ref="Q7:R7"/>
    <mergeCell ref="U7:V7"/>
    <mergeCell ref="W7:X7"/>
    <mergeCell ref="Y7:Z7"/>
    <mergeCell ref="A8:D8"/>
    <mergeCell ref="E8:AA8"/>
    <mergeCell ref="A9:D9"/>
    <mergeCell ref="E9:AA9"/>
    <mergeCell ref="A10:D10"/>
    <mergeCell ref="E10:AA10"/>
    <mergeCell ref="A11:C11"/>
    <mergeCell ref="E11:G11"/>
    <mergeCell ref="H11:I11"/>
    <mergeCell ref="J11:M11"/>
    <mergeCell ref="N11:O11"/>
    <mergeCell ref="Q11:R11"/>
    <mergeCell ref="T11:AA11"/>
    <mergeCell ref="B12:C12"/>
    <mergeCell ref="E12:F12"/>
    <mergeCell ref="G12:J12"/>
    <mergeCell ref="S12:T12"/>
    <mergeCell ref="U12:W12"/>
    <mergeCell ref="X12:Z12"/>
    <mergeCell ref="B13:C13"/>
    <mergeCell ref="E13:F13"/>
    <mergeCell ref="G13:J13"/>
    <mergeCell ref="S13:T13"/>
    <mergeCell ref="U13:W13"/>
    <mergeCell ref="X13:Z13"/>
    <mergeCell ref="B14:C14"/>
    <mergeCell ref="E14:F14"/>
    <mergeCell ref="G14:J14"/>
    <mergeCell ref="S14:T14"/>
    <mergeCell ref="U14:W14"/>
    <mergeCell ref="X14:Z14"/>
    <mergeCell ref="B15:C15"/>
    <mergeCell ref="E15:F15"/>
    <mergeCell ref="G15:J15"/>
    <mergeCell ref="S15:T15"/>
    <mergeCell ref="U15:W15"/>
    <mergeCell ref="X15:Z15"/>
    <mergeCell ref="B16:C16"/>
    <mergeCell ref="E16:F16"/>
    <mergeCell ref="G16:J16"/>
    <mergeCell ref="S16:T16"/>
    <mergeCell ref="U16:W16"/>
    <mergeCell ref="X16:Z16"/>
    <mergeCell ref="B17:C17"/>
    <mergeCell ref="E17:F17"/>
    <mergeCell ref="G17:J17"/>
    <mergeCell ref="S17:T17"/>
    <mergeCell ref="U17:W17"/>
    <mergeCell ref="X17:Z17"/>
    <mergeCell ref="B18:C18"/>
    <mergeCell ref="E18:F18"/>
    <mergeCell ref="G18:J18"/>
    <mergeCell ref="S18:T18"/>
    <mergeCell ref="U18:W18"/>
    <mergeCell ref="X18:Z18"/>
    <mergeCell ref="B19:C19"/>
    <mergeCell ref="E19:F19"/>
    <mergeCell ref="G19:J19"/>
    <mergeCell ref="S19:T19"/>
    <mergeCell ref="U19:W19"/>
    <mergeCell ref="X19:Z19"/>
    <mergeCell ref="B20:C20"/>
    <mergeCell ref="E20:F20"/>
    <mergeCell ref="G20:J20"/>
    <mergeCell ref="S20:T20"/>
    <mergeCell ref="U20:W20"/>
    <mergeCell ref="X20:Z20"/>
    <mergeCell ref="B21:C21"/>
    <mergeCell ref="E21:F21"/>
    <mergeCell ref="G21:J21"/>
    <mergeCell ref="S21:AA21"/>
    <mergeCell ref="AC13:AC1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  <arrUserId title="区域2" rangeCreator="" othersAccessPermission="edit"/>
    <arrUserId title="区域1_1" rangeCreator="" othersAccessPermission="edit"/>
  </rangeList>
  <rangeList sheetStid="3" master="" otherUserPermission="visible"/>
  <rangeList sheetStid="4" master="" otherUserPermission="visible"/>
  <rangeList sheetStid="5" master="" otherUserPermission="visible">
    <arrUserId title="区域1" rangeCreator="" othersAccessPermission="edit"/>
  </rangeList>
</allowEditUser>
</file>

<file path=customXml/item2.xml><?xml version="1.0" encoding="utf-8"?>
<NetdiskSupbooks xmlns="http://www.wps.cn/et/2019/netdiskSupbooks">
  <NetdiskSupbook Target="\Users\Documents\WPSDrive\1483371474\WPS云盘\自备报关模板.xls" FileId="262930046436" NetdiskName="yunwps"/>
</NetdiskSupbook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报关草单</vt:lpstr>
      <vt:lpstr>合同</vt:lpstr>
      <vt:lpstr>发票</vt:lpstr>
      <vt:lpstr>装箱单</vt:lpstr>
      <vt:lpstr>报关草单合并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谁是谁的谁</cp:lastModifiedBy>
  <dcterms:created xsi:type="dcterms:W3CDTF">2023-05-12T11:15:00Z</dcterms:created>
  <dcterms:modified xsi:type="dcterms:W3CDTF">2026-07-13T03:13:13Z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41C3BCD491504E868D86F3AA6DF956DA_13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